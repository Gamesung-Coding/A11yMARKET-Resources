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W:\GamesungCoding\ResourceRepo\2.WBS\xlsx\"/>
    </mc:Choice>
  </mc:AlternateContent>
  <xr:revisionPtr revIDLastSave="0" documentId="13_ncr:1_{6183F8F5-F349-451B-A1D6-07F81B03BB3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BS" sheetId="1" r:id="rId1"/>
    <sheet name="팀원" sheetId="2" r:id="rId2"/>
    <sheet name="담당자" sheetId="3" r:id="rId3"/>
  </sheets>
  <definedNames>
    <definedName name="_xlnm._FilterDatabase" localSheetId="0" hidden="1">WBS!$A$3:$F$4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5" roundtripDataSignature="AMtx7mgPAfxZ/PoKQxhGWwcboxNh6nTGqA=="/>
    </ext>
  </extLst>
</workbook>
</file>

<file path=xl/calcChain.xml><?xml version="1.0" encoding="utf-8"?>
<calcChain xmlns="http://schemas.openxmlformats.org/spreadsheetml/2006/main">
  <c r="F7" i="1" l="1"/>
  <c r="G7" i="1" a="1"/>
  <c r="G7" i="1"/>
  <c r="F6" i="1"/>
  <c r="G29" i="1" a="1"/>
  <c r="G29" i="1" s="1"/>
  <c r="G28" i="1" a="1"/>
  <c r="G28" i="1" s="1"/>
  <c r="F29" i="1"/>
  <c r="F28" i="1"/>
  <c r="F27" i="1" s="1"/>
  <c r="G27" i="1" a="1"/>
  <c r="G27" i="1" s="1"/>
  <c r="E27" i="1"/>
  <c r="C27" i="1"/>
  <c r="E24" i="1"/>
  <c r="G26" i="1" a="1"/>
  <c r="G26" i="1" s="1"/>
  <c r="G25" i="1" a="1"/>
  <c r="G25" i="1" s="1"/>
  <c r="G24" i="1" a="1"/>
  <c r="G24" i="1" s="1"/>
  <c r="G23" i="1" a="1"/>
  <c r="G23" i="1" s="1"/>
  <c r="G22" i="1" a="1"/>
  <c r="G22" i="1" s="1"/>
  <c r="G21" i="1" a="1"/>
  <c r="G21" i="1" s="1"/>
  <c r="G20" i="1" a="1"/>
  <c r="G20" i="1" s="1"/>
  <c r="G19" i="1" a="1"/>
  <c r="G19" i="1" s="1"/>
  <c r="G18" i="1" a="1"/>
  <c r="G18" i="1" s="1"/>
  <c r="G17" i="1" a="1"/>
  <c r="G17" i="1" s="1"/>
  <c r="G16" i="1" a="1"/>
  <c r="G16" i="1" s="1"/>
  <c r="G15" i="1" a="1"/>
  <c r="G15" i="1" s="1"/>
  <c r="G14" i="1" a="1"/>
  <c r="G14" i="1" s="1"/>
  <c r="G13" i="1" a="1"/>
  <c r="G13" i="1" s="1"/>
  <c r="G12" i="1" a="1"/>
  <c r="G12" i="1" s="1"/>
  <c r="G11" i="1" a="1"/>
  <c r="G11" i="1" s="1"/>
  <c r="G10" i="1" a="1"/>
  <c r="G10" i="1" s="1"/>
  <c r="G9" i="1" a="1"/>
  <c r="G9" i="1" s="1"/>
  <c r="G8" i="1" a="1"/>
  <c r="G8" i="1" s="1"/>
  <c r="G6" i="1" a="1"/>
  <c r="G6" i="1" s="1"/>
  <c r="G5" i="1" a="1"/>
  <c r="G5" i="1" s="1"/>
  <c r="C8" i="1"/>
  <c r="C12" i="1"/>
  <c r="C24" i="1"/>
  <c r="C21" i="1"/>
  <c r="C18" i="1"/>
  <c r="F26" i="1"/>
  <c r="F25" i="1"/>
  <c r="F23" i="1"/>
  <c r="E21" i="1"/>
  <c r="E18" i="1"/>
  <c r="E12" i="1"/>
  <c r="F9" i="1"/>
  <c r="F10" i="1"/>
  <c r="E11" i="1" s="1"/>
  <c r="F22" i="1"/>
  <c r="F20" i="1"/>
  <c r="F19" i="1"/>
  <c r="F16" i="1"/>
  <c r="F15" i="1"/>
  <c r="F14" i="1"/>
  <c r="F13" i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BG3" i="1" s="1"/>
  <c r="BH3" i="1" s="1"/>
  <c r="BI3" i="1" s="1"/>
  <c r="BJ3" i="1" s="1"/>
  <c r="BK3" i="1" s="1"/>
  <c r="BL3" i="1" s="1"/>
  <c r="BM3" i="1" s="1"/>
  <c r="BN3" i="1" s="1"/>
  <c r="BO3" i="1" s="1"/>
  <c r="I4" i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BG4" i="1" s="1"/>
  <c r="BH4" i="1" s="1"/>
  <c r="BI4" i="1" s="1"/>
  <c r="BJ4" i="1" s="1"/>
  <c r="BK4" i="1" s="1"/>
  <c r="BL4" i="1" s="1"/>
  <c r="BM4" i="1" s="1"/>
  <c r="BN4" i="1" s="1"/>
  <c r="BO4" i="1" s="1"/>
  <c r="F24" i="1" l="1"/>
  <c r="D24" i="1" s="1"/>
  <c r="F21" i="1"/>
  <c r="D21" i="1" s="1"/>
  <c r="D27" i="1"/>
  <c r="F18" i="1"/>
  <c r="D18" i="1" s="1"/>
  <c r="F12" i="1"/>
  <c r="D12" i="1" s="1"/>
  <c r="F11" i="1"/>
  <c r="F8" i="1" l="1"/>
  <c r="E8" i="1"/>
  <c r="F17" i="1"/>
  <c r="F5" i="1"/>
  <c r="D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<sst xmlns="http://schemas.openxmlformats.org/spreadsheetml/2006/main" count="117" uniqueCount="51">
  <si>
    <t>구분</t>
  </si>
  <si>
    <t>공정</t>
  </si>
  <si>
    <t>완료율</t>
  </si>
  <si>
    <t>기간</t>
  </si>
  <si>
    <t>시작 날짜</t>
  </si>
  <si>
    <t>완료 날짜</t>
  </si>
  <si>
    <t>담당자</t>
  </si>
  <si>
    <t>프로젝트 관리</t>
  </si>
  <si>
    <t>프로젝트 수행계획 수립</t>
  </si>
  <si>
    <t>프로젝트 착수 보고(Kick-Off)</t>
  </si>
  <si>
    <t>중간보고 및 확인</t>
  </si>
  <si>
    <t>종료보고 및 확인</t>
  </si>
  <si>
    <t>프로젝트 수행</t>
  </si>
  <si>
    <t>WBS(Work Breakdown Structure)</t>
    <phoneticPr fontId="1" type="noConversion"/>
  </si>
  <si>
    <t>3조</t>
  </si>
  <si>
    <t>A11yMARKET</t>
  </si>
  <si>
    <t>사용자 맞춤형 접근성 프로필을 기반으로 하는 상품 중계 쇼핑몰</t>
  </si>
  <si>
    <t>이름</t>
  </si>
  <si>
    <t>안규태</t>
  </si>
  <si>
    <t>김수민</t>
  </si>
  <si>
    <t>백여랑</t>
  </si>
  <si>
    <t>신운용</t>
  </si>
  <si>
    <t>장지훈</t>
  </si>
  <si>
    <t>프로젝트 목표 및 범위 정의</t>
  </si>
  <si>
    <t>주제 확립 및 기획(요구분석)</t>
  </si>
  <si>
    <t>페르소나 및 유저 스토리 작성</t>
  </si>
  <si>
    <t>기능 요구사항 분석</t>
  </si>
  <si>
    <t>비기능 요구사항 분석</t>
  </si>
  <si>
    <t>서비스 구조 설계</t>
  </si>
  <si>
    <t>개발 환경 구축</t>
  </si>
  <si>
    <t>구현</t>
  </si>
  <si>
    <t>테스트및 QA</t>
  </si>
  <si>
    <t>시스템 아키텍처 설계</t>
  </si>
  <si>
    <t>데이터베이스 설계</t>
  </si>
  <si>
    <t>API 명세서 작성</t>
  </si>
  <si>
    <t>UI/UX 디자인</t>
  </si>
  <si>
    <t>명세서 기반 백엔드 개발</t>
  </si>
  <si>
    <t>명세서 기반 프론트엔드 개발</t>
  </si>
  <si>
    <t>통합 테스트</t>
  </si>
  <si>
    <t>버그 트래킹 및 수정</t>
  </si>
  <si>
    <t>배포</t>
  </si>
  <si>
    <t>빌드 테이스 및 빌드</t>
  </si>
  <si>
    <t>배포 환경 구성</t>
  </si>
  <si>
    <t>O</t>
  </si>
  <si>
    <t>팀 전체</t>
  </si>
  <si>
    <t>겜성코딩</t>
  </si>
  <si>
    <t>MSA 특강</t>
  </si>
  <si>
    <t>프로젝트 마무리</t>
  </si>
  <si>
    <t>산출물 문서 확인</t>
  </si>
  <si>
    <t>기타 요구 제출물 확인</t>
  </si>
  <si>
    <t>요구사항 분석 및 명세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</si>
</sst>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&quot;/&quot;d"/>
    <numFmt numFmtId="165" formatCode="0\일"/>
    <numFmt numFmtId="166" formatCode="yyyy&quot;/&quot;m&quot;/&quot;d;@"/>
  </numFmts>
  <fonts count="29" x14ac:knownFonts="1">
    <font>
      <sz val="11"/>
      <color theme="1"/>
      <name val="Arial"/>
    </font>
    <font>
      <sz val="8"/>
      <name val="돋움"/>
      <family val="3"/>
      <charset val="129"/>
    </font>
    <font>
      <sz val="11"/>
      <color theme="1"/>
      <name val="Arial"/>
      <family val="2"/>
    </font>
    <font>
      <sz val="11"/>
      <color theme="1"/>
      <name val="맑은 고딕"/>
      <family val="2"/>
    </font>
    <font>
      <b/>
      <sz val="14"/>
      <color theme="1"/>
      <name val="맑은 고딕"/>
      <family val="2"/>
    </font>
    <font>
      <b/>
      <sz val="12"/>
      <color theme="1"/>
      <name val="맑은 고딕"/>
      <family val="2"/>
    </font>
    <font>
      <sz val="12"/>
      <name val="맑은 고딕"/>
      <family val="2"/>
    </font>
    <font>
      <b/>
      <u/>
      <sz val="12"/>
      <color theme="1"/>
      <name val="맑은 고딕"/>
      <family val="2"/>
    </font>
    <font>
      <sz val="12"/>
      <color theme="1"/>
      <name val="맑은 고딕"/>
      <family val="2"/>
    </font>
    <font>
      <b/>
      <sz val="8"/>
      <color theme="1"/>
      <name val="맑은 고딕"/>
      <family val="2"/>
    </font>
    <font>
      <sz val="11"/>
      <name val="맑은 고딕"/>
      <family val="2"/>
    </font>
    <font>
      <sz val="8"/>
      <color theme="1"/>
      <name val="맑은 고딕"/>
      <family val="2"/>
    </font>
    <font>
      <sz val="9"/>
      <color theme="1"/>
      <name val="맑은 고딕"/>
      <family val="2"/>
    </font>
    <font>
      <b/>
      <sz val="11"/>
      <color theme="1"/>
      <name val="맑은 고딕"/>
      <family val="2"/>
    </font>
    <font>
      <sz val="10"/>
      <color theme="1"/>
      <name val="맑은 고딕"/>
      <family val="2"/>
    </font>
    <font>
      <b/>
      <sz val="10"/>
      <color theme="1"/>
      <name val="맑은 고딕"/>
      <family val="2"/>
    </font>
    <font>
      <sz val="10"/>
      <name val="맑은 고딕"/>
      <family val="2"/>
    </font>
    <font>
      <b/>
      <sz val="8"/>
      <color theme="4"/>
      <name val="맑은 고딕"/>
      <family val="2"/>
    </font>
    <font>
      <sz val="8"/>
      <color theme="4"/>
      <name val="맑은 고딕"/>
      <family val="2"/>
    </font>
    <font>
      <sz val="11"/>
      <color theme="4"/>
      <name val="맑은 고딕"/>
      <family val="2"/>
    </font>
    <font>
      <b/>
      <sz val="8"/>
      <color rgb="FFFF0000"/>
      <name val="맑은 고딕"/>
      <family val="2"/>
    </font>
    <font>
      <sz val="8"/>
      <color rgb="FFFF0000"/>
      <name val="맑은 고딕"/>
      <family val="2"/>
    </font>
    <font>
      <sz val="11"/>
      <color rgb="FFFF0000"/>
      <name val="맑은 고딕"/>
      <family val="2"/>
    </font>
    <font>
      <b/>
      <u/>
      <sz val="12"/>
      <color theme="4"/>
      <name val="맑은 고딕"/>
      <family val="2"/>
    </font>
    <font>
      <sz val="12"/>
      <color theme="4"/>
      <name val="맑은 고딕"/>
      <family val="2"/>
    </font>
    <font>
      <sz val="12"/>
      <color rgb="FFFF0000"/>
      <name val="맑은 고딕"/>
      <family val="2"/>
    </font>
    <font>
      <b/>
      <u/>
      <sz val="12"/>
      <color rgb="FFFF0000"/>
      <name val="맑은 고딕"/>
      <family val="2"/>
    </font>
    <font>
      <b/>
      <sz val="10"/>
      <name val="맑은 고딕"/>
      <family val="2"/>
    </font>
    <font>
      <b/>
      <sz val="11"/>
      <color theme="0"/>
      <name val="맑은 고딕"/>
      <family val="2"/>
    </font>
  </fonts>
  <fills count="11">
    <fill>
      <patternFill patternType="none"/>
    </fill>
    <fill>
      <patternFill patternType="gray125"/>
    </fill>
    <fill>
      <patternFill patternType="solid">
        <fgColor rgb="FFFBE4D5"/>
        <bgColor rgb="FFFBE4D5"/>
      </patternFill>
    </fill>
    <fill>
      <patternFill patternType="solid">
        <fgColor rgb="FFFFFF99"/>
        <bgColor rgb="FFFFFF99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34998626667073579"/>
        <bgColor indexed="64"/>
      </patternFill>
    </fill>
    <fill>
      <patternFill patternType="solid">
        <fgColor theme="2" tint="-0.249977111117893"/>
        <bgColor rgb="FFFBE4D5"/>
      </patternFill>
    </fill>
  </fills>
  <borders count="2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 diagonalUp="1" diagonalDown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 diagonalDown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65" fontId="9" fillId="3" borderId="6" xfId="0" applyNumberFormat="1" applyFont="1" applyFill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 vertical="center"/>
    </xf>
    <xf numFmtId="165" fontId="12" fillId="2" borderId="6" xfId="0" applyNumberFormat="1" applyFont="1" applyFill="1" applyBorder="1" applyAlignment="1">
      <alignment horizontal="center" vertical="center"/>
    </xf>
    <xf numFmtId="166" fontId="11" fillId="2" borderId="6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5" fillId="2" borderId="1" xfId="0" applyFont="1" applyFill="1" applyBorder="1" applyAlignment="1">
      <alignment horizontal="center" vertical="center"/>
    </xf>
    <xf numFmtId="0" fontId="14" fillId="4" borderId="6" xfId="0" applyFont="1" applyFill="1" applyBorder="1" applyAlignment="1">
      <alignment vertical="center" wrapText="1"/>
    </xf>
    <xf numFmtId="0" fontId="14" fillId="0" borderId="0" xfId="0" applyFont="1" applyAlignment="1">
      <alignment vertical="center"/>
    </xf>
    <xf numFmtId="165" fontId="17" fillId="3" borderId="6" xfId="0" applyNumberFormat="1" applyFont="1" applyFill="1" applyBorder="1" applyAlignment="1">
      <alignment horizontal="center" vertical="center"/>
    </xf>
    <xf numFmtId="164" fontId="17" fillId="3" borderId="6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165" fontId="20" fillId="3" borderId="6" xfId="0" applyNumberFormat="1" applyFont="1" applyFill="1" applyBorder="1" applyAlignment="1">
      <alignment horizontal="center" vertical="center"/>
    </xf>
    <xf numFmtId="164" fontId="20" fillId="3" borderId="6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18" fillId="7" borderId="6" xfId="0" applyFont="1" applyFill="1" applyBorder="1" applyAlignment="1">
      <alignment vertical="center"/>
    </xf>
    <xf numFmtId="0" fontId="18" fillId="8" borderId="6" xfId="0" applyFont="1" applyFill="1" applyBorder="1" applyAlignment="1">
      <alignment vertical="center"/>
    </xf>
    <xf numFmtId="164" fontId="13" fillId="3" borderId="9" xfId="0" applyNumberFormat="1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2" fillId="2" borderId="6" xfId="0" applyFont="1" applyFill="1" applyBorder="1" applyAlignment="1">
      <alignment horizontal="left" vertical="center"/>
    </xf>
    <xf numFmtId="10" fontId="11" fillId="0" borderId="6" xfId="0" applyNumberFormat="1" applyFont="1" applyBorder="1" applyAlignment="1">
      <alignment vertical="center"/>
    </xf>
    <xf numFmtId="0" fontId="12" fillId="10" borderId="6" xfId="0" applyFont="1" applyFill="1" applyBorder="1" applyAlignment="1">
      <alignment horizontal="left" vertical="center"/>
    </xf>
    <xf numFmtId="164" fontId="9" fillId="3" borderId="5" xfId="0" applyNumberFormat="1" applyFont="1" applyFill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5" fillId="0" borderId="16" xfId="0" applyFont="1" applyBorder="1" applyAlignment="1">
      <alignment vertical="center" wrapText="1"/>
    </xf>
    <xf numFmtId="0" fontId="14" fillId="4" borderId="16" xfId="0" applyFont="1" applyFill="1" applyBorder="1" applyAlignment="1">
      <alignment horizontal="left" vertical="center" wrapText="1"/>
    </xf>
    <xf numFmtId="0" fontId="14" fillId="5" borderId="16" xfId="0" applyFont="1" applyFill="1" applyBorder="1" applyAlignment="1">
      <alignment horizontal="left" vertical="center" wrapText="1"/>
    </xf>
    <xf numFmtId="0" fontId="11" fillId="0" borderId="12" xfId="0" applyFont="1" applyBorder="1" applyAlignment="1">
      <alignment vertical="center"/>
    </xf>
    <xf numFmtId="0" fontId="11" fillId="0" borderId="16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28" fillId="0" borderId="9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15" fillId="0" borderId="17" xfId="0" applyFont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9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27" fillId="0" borderId="8" xfId="0" applyFont="1" applyBorder="1" applyAlignment="1">
      <alignment vertical="center"/>
    </xf>
    <xf numFmtId="164" fontId="9" fillId="3" borderId="5" xfId="0" applyNumberFormat="1" applyFont="1" applyFill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4" fontId="13" fillId="3" borderId="5" xfId="0" applyNumberFormat="1" applyFont="1" applyFill="1" applyBorder="1" applyAlignment="1">
      <alignment horizontal="center" vertical="center"/>
    </xf>
    <xf numFmtId="164" fontId="15" fillId="3" borderId="5" xfId="0" applyNumberFormat="1" applyFont="1" applyFill="1" applyBorder="1" applyAlignment="1">
      <alignment horizontal="center" vertical="center"/>
    </xf>
    <xf numFmtId="0" fontId="16" fillId="0" borderId="7" xfId="0" applyFont="1" applyBorder="1" applyAlignment="1">
      <alignment vertical="center"/>
    </xf>
    <xf numFmtId="0" fontId="3" fillId="9" borderId="13" xfId="0" applyFont="1" applyFill="1" applyBorder="1" applyAlignment="1">
      <alignment horizontal="center" vertical="center"/>
    </xf>
    <xf numFmtId="0" fontId="3" fillId="9" borderId="14" xfId="0" applyFont="1" applyFill="1" applyBorder="1" applyAlignment="1">
      <alignment horizontal="center" vertical="center"/>
    </xf>
    <xf numFmtId="0" fontId="3" fillId="9" borderId="15" xfId="0" applyFont="1" applyFill="1" applyBorder="1" applyAlignment="1">
      <alignment horizontal="center" vertical="center"/>
    </xf>
    <xf numFmtId="164" fontId="15" fillId="3" borderId="10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vertical="center"/>
    </xf>
    <xf numFmtId="164" fontId="13" fillId="3" borderId="9" xfId="0" applyNumberFormat="1" applyFont="1" applyFill="1" applyBorder="1" applyAlignment="1">
      <alignment horizontal="center" vertical="center"/>
    </xf>
  </cellXfs>
  <cellStyles count="1">
    <cellStyle name="표준" xfId="0" builtinId="0"/>
  </cellStyles>
  <dxfs count="4">
    <dxf>
      <fill>
        <patternFill>
          <bgColor theme="9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9966"/>
      <color rgb="FFEFE97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998"/>
  <sheetViews>
    <sheetView tabSelected="1" zoomScaleNormal="100" workbookViewId="0">
      <selection activeCell="C30" sqref="C30"/>
    </sheetView>
  </sheetViews>
  <sheetFormatPr defaultColWidth="12.625" defaultRowHeight="15" customHeight="1" x14ac:dyDescent="0.2"/>
  <cols>
    <col min="1" max="1" width="13.5" style="5" customWidth="1"/>
    <col min="2" max="2" width="40" style="19" customWidth="1"/>
    <col min="3" max="3" width="7" style="5" customWidth="1"/>
    <col min="4" max="4" width="5.375" style="5" customWidth="1"/>
    <col min="5" max="6" width="7.625" style="5" customWidth="1"/>
    <col min="7" max="7" width="16.625" style="5" customWidth="1"/>
    <col min="8" max="8" width="4.375" style="5" customWidth="1"/>
    <col min="9" max="11" width="4.5" style="5" customWidth="1"/>
    <col min="12" max="12" width="4.5" style="23" customWidth="1"/>
    <col min="13" max="13" width="4.5" style="27" customWidth="1"/>
    <col min="14" max="18" width="4.5" style="5" customWidth="1"/>
    <col min="19" max="19" width="4.5" style="23" customWidth="1"/>
    <col min="20" max="20" width="4.5" style="27" customWidth="1"/>
    <col min="21" max="25" width="4.5" style="5" customWidth="1"/>
    <col min="26" max="26" width="4.5" style="23" customWidth="1"/>
    <col min="27" max="27" width="4.5" style="27" customWidth="1"/>
    <col min="28" max="32" width="4.5" style="5" customWidth="1"/>
    <col min="33" max="33" width="4.5" style="23" customWidth="1"/>
    <col min="34" max="34" width="4.5" style="27" customWidth="1"/>
    <col min="35" max="39" width="4.5" style="5" customWidth="1"/>
    <col min="40" max="40" width="4.5" style="23" customWidth="1"/>
    <col min="41" max="41" width="4.5" style="27" customWidth="1"/>
    <col min="42" max="46" width="4.5" style="5" customWidth="1"/>
    <col min="47" max="47" width="4.5" style="23" customWidth="1"/>
    <col min="48" max="48" width="4.5" style="27" customWidth="1"/>
    <col min="49" max="53" width="4.5" style="5" customWidth="1"/>
    <col min="54" max="54" width="4.5" style="23" customWidth="1"/>
    <col min="55" max="55" width="4.5" style="27" customWidth="1"/>
    <col min="56" max="67" width="4.5" style="5" customWidth="1"/>
    <col min="68" max="16384" width="12.625" style="5"/>
  </cols>
  <sheetData>
    <row r="1" spans="1:67" ht="38.25" customHeight="1" x14ac:dyDescent="0.2">
      <c r="A1" s="56" t="s">
        <v>13</v>
      </c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</row>
    <row r="2" spans="1:67" s="7" customFormat="1" ht="26.25" customHeight="1" x14ac:dyDescent="0.2">
      <c r="A2" s="16" t="s">
        <v>45</v>
      </c>
      <c r="B2" s="17" t="s">
        <v>14</v>
      </c>
      <c r="C2" s="58" t="s">
        <v>15</v>
      </c>
      <c r="D2" s="59"/>
      <c r="E2" s="59"/>
      <c r="F2" s="60" t="s">
        <v>16</v>
      </c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"/>
      <c r="Y2" s="6"/>
      <c r="Z2" s="28"/>
      <c r="AA2" s="31"/>
      <c r="AB2" s="6"/>
      <c r="AG2" s="29"/>
      <c r="AH2" s="30"/>
      <c r="AN2" s="29"/>
      <c r="AO2" s="30"/>
      <c r="AU2" s="29"/>
      <c r="AV2" s="30"/>
      <c r="BB2" s="29"/>
      <c r="BC2" s="30"/>
    </row>
    <row r="3" spans="1:67" ht="13.5" customHeight="1" x14ac:dyDescent="0.2">
      <c r="A3" s="62" t="s">
        <v>0</v>
      </c>
      <c r="B3" s="63" t="s">
        <v>1</v>
      </c>
      <c r="C3" s="54" t="s">
        <v>2</v>
      </c>
      <c r="D3" s="54" t="s">
        <v>3</v>
      </c>
      <c r="E3" s="54" t="s">
        <v>4</v>
      </c>
      <c r="F3" s="54" t="s">
        <v>5</v>
      </c>
      <c r="G3" s="54" t="s">
        <v>6</v>
      </c>
      <c r="H3" s="8">
        <v>1</v>
      </c>
      <c r="I3" s="8">
        <f>H3+1</f>
        <v>2</v>
      </c>
      <c r="J3" s="8">
        <f t="shared" ref="J3:BH3" si="0">I3+1</f>
        <v>3</v>
      </c>
      <c r="K3" s="8">
        <f t="shared" si="0"/>
        <v>4</v>
      </c>
      <c r="L3" s="20">
        <f t="shared" si="0"/>
        <v>5</v>
      </c>
      <c r="M3" s="24">
        <f t="shared" si="0"/>
        <v>6</v>
      </c>
      <c r="N3" s="8">
        <f t="shared" si="0"/>
        <v>7</v>
      </c>
      <c r="O3" s="8">
        <f t="shared" si="0"/>
        <v>8</v>
      </c>
      <c r="P3" s="8">
        <f t="shared" si="0"/>
        <v>9</v>
      </c>
      <c r="Q3" s="8">
        <f t="shared" si="0"/>
        <v>10</v>
      </c>
      <c r="R3" s="8">
        <f t="shared" si="0"/>
        <v>11</v>
      </c>
      <c r="S3" s="20">
        <f t="shared" si="0"/>
        <v>12</v>
      </c>
      <c r="T3" s="24">
        <f t="shared" si="0"/>
        <v>13</v>
      </c>
      <c r="U3" s="8">
        <f t="shared" si="0"/>
        <v>14</v>
      </c>
      <c r="V3" s="8">
        <f t="shared" si="0"/>
        <v>15</v>
      </c>
      <c r="W3" s="8">
        <f t="shared" si="0"/>
        <v>16</v>
      </c>
      <c r="X3" s="8">
        <f t="shared" si="0"/>
        <v>17</v>
      </c>
      <c r="Y3" s="8">
        <f t="shared" si="0"/>
        <v>18</v>
      </c>
      <c r="Z3" s="20">
        <f t="shared" si="0"/>
        <v>19</v>
      </c>
      <c r="AA3" s="24">
        <f t="shared" si="0"/>
        <v>20</v>
      </c>
      <c r="AB3" s="8">
        <f t="shared" si="0"/>
        <v>21</v>
      </c>
      <c r="AC3" s="8">
        <f t="shared" si="0"/>
        <v>22</v>
      </c>
      <c r="AD3" s="8">
        <f t="shared" si="0"/>
        <v>23</v>
      </c>
      <c r="AE3" s="8">
        <f t="shared" si="0"/>
        <v>24</v>
      </c>
      <c r="AF3" s="8">
        <f t="shared" si="0"/>
        <v>25</v>
      </c>
      <c r="AG3" s="20">
        <f t="shared" si="0"/>
        <v>26</v>
      </c>
      <c r="AH3" s="24">
        <f t="shared" si="0"/>
        <v>27</v>
      </c>
      <c r="AI3" s="8">
        <f t="shared" si="0"/>
        <v>28</v>
      </c>
      <c r="AJ3" s="8">
        <f t="shared" si="0"/>
        <v>29</v>
      </c>
      <c r="AK3" s="8">
        <f t="shared" si="0"/>
        <v>30</v>
      </c>
      <c r="AL3" s="8">
        <f t="shared" si="0"/>
        <v>31</v>
      </c>
      <c r="AM3" s="8">
        <f t="shared" si="0"/>
        <v>32</v>
      </c>
      <c r="AN3" s="20">
        <f t="shared" si="0"/>
        <v>33</v>
      </c>
      <c r="AO3" s="24">
        <f t="shared" si="0"/>
        <v>34</v>
      </c>
      <c r="AP3" s="8">
        <f t="shared" si="0"/>
        <v>35</v>
      </c>
      <c r="AQ3" s="8">
        <f t="shared" si="0"/>
        <v>36</v>
      </c>
      <c r="AR3" s="8">
        <f t="shared" si="0"/>
        <v>37</v>
      </c>
      <c r="AS3" s="8">
        <f t="shared" si="0"/>
        <v>38</v>
      </c>
      <c r="AT3" s="8">
        <f t="shared" si="0"/>
        <v>39</v>
      </c>
      <c r="AU3" s="20">
        <f t="shared" si="0"/>
        <v>40</v>
      </c>
      <c r="AV3" s="24">
        <f t="shared" si="0"/>
        <v>41</v>
      </c>
      <c r="AW3" s="8">
        <f t="shared" si="0"/>
        <v>42</v>
      </c>
      <c r="AX3" s="8">
        <f t="shared" si="0"/>
        <v>43</v>
      </c>
      <c r="AY3" s="8">
        <f t="shared" si="0"/>
        <v>44</v>
      </c>
      <c r="AZ3" s="8">
        <f t="shared" si="0"/>
        <v>45</v>
      </c>
      <c r="BA3" s="8">
        <f t="shared" si="0"/>
        <v>46</v>
      </c>
      <c r="BB3" s="20">
        <f t="shared" si="0"/>
        <v>47</v>
      </c>
      <c r="BC3" s="24">
        <f t="shared" si="0"/>
        <v>48</v>
      </c>
      <c r="BD3" s="8">
        <f t="shared" si="0"/>
        <v>49</v>
      </c>
      <c r="BE3" s="8">
        <f t="shared" si="0"/>
        <v>50</v>
      </c>
      <c r="BF3" s="8">
        <f t="shared" si="0"/>
        <v>51</v>
      </c>
      <c r="BG3" s="8">
        <f t="shared" si="0"/>
        <v>52</v>
      </c>
      <c r="BH3" s="8">
        <f t="shared" si="0"/>
        <v>53</v>
      </c>
      <c r="BI3" s="20">
        <f t="shared" ref="BI3:BI4" si="1">BH3+1</f>
        <v>54</v>
      </c>
      <c r="BJ3" s="24">
        <f t="shared" ref="BJ3:BJ4" si="2">BI3+1</f>
        <v>55</v>
      </c>
      <c r="BK3" s="8">
        <f t="shared" ref="BK3:BK4" si="3">BJ3+1</f>
        <v>56</v>
      </c>
      <c r="BL3" s="8">
        <f t="shared" ref="BL3:BL4" si="4">BK3+1</f>
        <v>57</v>
      </c>
      <c r="BM3" s="8">
        <f t="shared" ref="BM3:BM4" si="5">BL3+1</f>
        <v>58</v>
      </c>
      <c r="BN3" s="8">
        <f t="shared" ref="BN3:BN4" si="6">BM3+1</f>
        <v>59</v>
      </c>
      <c r="BO3" s="8">
        <f t="shared" ref="BO3:BO4" si="7">BN3+1</f>
        <v>60</v>
      </c>
    </row>
    <row r="4" spans="1:67" ht="13.5" customHeight="1" x14ac:dyDescent="0.2">
      <c r="A4" s="55"/>
      <c r="B4" s="64"/>
      <c r="C4" s="55"/>
      <c r="D4" s="55"/>
      <c r="E4" s="55"/>
      <c r="F4" s="55"/>
      <c r="G4" s="55"/>
      <c r="H4" s="9">
        <v>45951</v>
      </c>
      <c r="I4" s="9">
        <f>H4+1</f>
        <v>45952</v>
      </c>
      <c r="J4" s="9">
        <f t="shared" ref="J4:BH4" si="8">I4+1</f>
        <v>45953</v>
      </c>
      <c r="K4" s="9">
        <f t="shared" si="8"/>
        <v>45954</v>
      </c>
      <c r="L4" s="21">
        <f t="shared" si="8"/>
        <v>45955</v>
      </c>
      <c r="M4" s="25">
        <f t="shared" si="8"/>
        <v>45956</v>
      </c>
      <c r="N4" s="9">
        <f t="shared" si="8"/>
        <v>45957</v>
      </c>
      <c r="O4" s="39">
        <f t="shared" si="8"/>
        <v>45958</v>
      </c>
      <c r="P4" s="39">
        <f t="shared" si="8"/>
        <v>45959</v>
      </c>
      <c r="Q4" s="9">
        <f t="shared" si="8"/>
        <v>45960</v>
      </c>
      <c r="R4" s="9">
        <f t="shared" si="8"/>
        <v>45961</v>
      </c>
      <c r="S4" s="21">
        <f t="shared" si="8"/>
        <v>45962</v>
      </c>
      <c r="T4" s="25">
        <f t="shared" si="8"/>
        <v>45963</v>
      </c>
      <c r="U4" s="9">
        <f t="shared" si="8"/>
        <v>45964</v>
      </c>
      <c r="V4" s="9">
        <f t="shared" si="8"/>
        <v>45965</v>
      </c>
      <c r="W4" s="9">
        <f t="shared" si="8"/>
        <v>45966</v>
      </c>
      <c r="X4" s="9">
        <f t="shared" si="8"/>
        <v>45967</v>
      </c>
      <c r="Y4" s="9">
        <f t="shared" si="8"/>
        <v>45968</v>
      </c>
      <c r="Z4" s="21">
        <f t="shared" si="8"/>
        <v>45969</v>
      </c>
      <c r="AA4" s="25">
        <f t="shared" si="8"/>
        <v>45970</v>
      </c>
      <c r="AB4" s="9">
        <f t="shared" si="8"/>
        <v>45971</v>
      </c>
      <c r="AC4" s="9">
        <f t="shared" si="8"/>
        <v>45972</v>
      </c>
      <c r="AD4" s="9">
        <f t="shared" si="8"/>
        <v>45973</v>
      </c>
      <c r="AE4" s="9">
        <f t="shared" si="8"/>
        <v>45974</v>
      </c>
      <c r="AF4" s="9">
        <f t="shared" si="8"/>
        <v>45975</v>
      </c>
      <c r="AG4" s="21">
        <f t="shared" si="8"/>
        <v>45976</v>
      </c>
      <c r="AH4" s="25">
        <f t="shared" si="8"/>
        <v>45977</v>
      </c>
      <c r="AI4" s="9">
        <f t="shared" si="8"/>
        <v>45978</v>
      </c>
      <c r="AJ4" s="9">
        <f t="shared" si="8"/>
        <v>45979</v>
      </c>
      <c r="AK4" s="9">
        <f t="shared" si="8"/>
        <v>45980</v>
      </c>
      <c r="AL4" s="9">
        <f t="shared" si="8"/>
        <v>45981</v>
      </c>
      <c r="AM4" s="9">
        <f t="shared" si="8"/>
        <v>45982</v>
      </c>
      <c r="AN4" s="21">
        <f t="shared" si="8"/>
        <v>45983</v>
      </c>
      <c r="AO4" s="25">
        <f t="shared" si="8"/>
        <v>45984</v>
      </c>
      <c r="AP4" s="9">
        <f t="shared" si="8"/>
        <v>45985</v>
      </c>
      <c r="AQ4" s="9">
        <f t="shared" si="8"/>
        <v>45986</v>
      </c>
      <c r="AR4" s="9">
        <f t="shared" si="8"/>
        <v>45987</v>
      </c>
      <c r="AS4" s="9">
        <f t="shared" si="8"/>
        <v>45988</v>
      </c>
      <c r="AT4" s="9">
        <f t="shared" si="8"/>
        <v>45989</v>
      </c>
      <c r="AU4" s="21">
        <f t="shared" si="8"/>
        <v>45990</v>
      </c>
      <c r="AV4" s="25">
        <f t="shared" si="8"/>
        <v>45991</v>
      </c>
      <c r="AW4" s="9">
        <f t="shared" si="8"/>
        <v>45992</v>
      </c>
      <c r="AX4" s="9">
        <f t="shared" si="8"/>
        <v>45993</v>
      </c>
      <c r="AY4" s="9">
        <f t="shared" si="8"/>
        <v>45994</v>
      </c>
      <c r="AZ4" s="9">
        <f t="shared" si="8"/>
        <v>45995</v>
      </c>
      <c r="BA4" s="9">
        <f t="shared" si="8"/>
        <v>45996</v>
      </c>
      <c r="BB4" s="21">
        <f t="shared" si="8"/>
        <v>45997</v>
      </c>
      <c r="BC4" s="25">
        <f t="shared" si="8"/>
        <v>45998</v>
      </c>
      <c r="BD4" s="9">
        <f t="shared" si="8"/>
        <v>45999</v>
      </c>
      <c r="BE4" s="9">
        <f t="shared" si="8"/>
        <v>46000</v>
      </c>
      <c r="BF4" s="9">
        <f t="shared" si="8"/>
        <v>46001</v>
      </c>
      <c r="BG4" s="9">
        <f t="shared" si="8"/>
        <v>46002</v>
      </c>
      <c r="BH4" s="9">
        <f t="shared" si="8"/>
        <v>46003</v>
      </c>
      <c r="BI4" s="21">
        <f t="shared" si="1"/>
        <v>46004</v>
      </c>
      <c r="BJ4" s="25">
        <f t="shared" si="2"/>
        <v>46005</v>
      </c>
      <c r="BK4" s="9">
        <f t="shared" si="3"/>
        <v>46006</v>
      </c>
      <c r="BL4" s="9">
        <f t="shared" si="4"/>
        <v>46007</v>
      </c>
      <c r="BM4" s="9">
        <f t="shared" si="5"/>
        <v>46008</v>
      </c>
      <c r="BN4" s="9">
        <f t="shared" si="6"/>
        <v>46009</v>
      </c>
      <c r="BO4" s="9">
        <f t="shared" si="7"/>
        <v>46010</v>
      </c>
    </row>
    <row r="5" spans="1:67" ht="17.25" customHeight="1" x14ac:dyDescent="0.2">
      <c r="A5" s="52" t="s">
        <v>7</v>
      </c>
      <c r="B5" s="18" t="s">
        <v>8</v>
      </c>
      <c r="C5" s="37">
        <v>1</v>
      </c>
      <c r="D5" s="10">
        <v>1</v>
      </c>
      <c r="E5" s="11">
        <v>45952</v>
      </c>
      <c r="F5" s="11">
        <f t="shared" ref="F5:F7" si="9">IF(AND(E5&lt;&gt;"", D5&lt;&gt;""), E5+D5-1, "")</f>
        <v>45952</v>
      </c>
      <c r="G5" s="36" t="str" cm="1">
        <f t="array" ref="G5">_xlfn.TEXTJOIN(", ", TRUE, IF(담당자!C3:I3="O", 담당자!C$2:I$2, ""))</f>
        <v>안규태</v>
      </c>
      <c r="H5" s="12"/>
      <c r="I5" s="12"/>
      <c r="J5" s="12"/>
      <c r="K5" s="12"/>
      <c r="L5" s="32"/>
      <c r="M5" s="33"/>
      <c r="N5" s="44"/>
      <c r="O5" s="46"/>
      <c r="P5" s="47"/>
      <c r="Q5" s="45"/>
      <c r="R5" s="12"/>
      <c r="S5" s="32"/>
      <c r="T5" s="33"/>
      <c r="U5" s="12"/>
      <c r="V5" s="12"/>
      <c r="W5" s="12"/>
      <c r="X5" s="12"/>
      <c r="Y5" s="12"/>
      <c r="Z5" s="32"/>
      <c r="AA5" s="33"/>
      <c r="AB5" s="12"/>
      <c r="AC5" s="12"/>
      <c r="AD5" s="12"/>
      <c r="AE5" s="12"/>
      <c r="AF5" s="12"/>
      <c r="AG5" s="32"/>
      <c r="AH5" s="33"/>
      <c r="AI5" s="12"/>
      <c r="AJ5" s="12"/>
      <c r="AK5" s="12"/>
      <c r="AL5" s="12"/>
      <c r="AM5" s="12"/>
      <c r="AN5" s="32"/>
      <c r="AO5" s="33"/>
      <c r="AP5" s="12"/>
      <c r="AQ5" s="12"/>
      <c r="AR5" s="12"/>
      <c r="AS5" s="12"/>
      <c r="AT5" s="12"/>
      <c r="AU5" s="32"/>
      <c r="AV5" s="33"/>
      <c r="AW5" s="12"/>
      <c r="AX5" s="12"/>
      <c r="AY5" s="12"/>
      <c r="AZ5" s="12"/>
      <c r="BA5" s="12"/>
      <c r="BB5" s="32"/>
      <c r="BC5" s="33"/>
      <c r="BD5" s="12"/>
      <c r="BE5" s="12"/>
      <c r="BF5" s="12"/>
      <c r="BG5" s="12"/>
      <c r="BH5" s="12"/>
      <c r="BI5" s="32"/>
      <c r="BJ5" s="33"/>
      <c r="BK5" s="12"/>
      <c r="BL5" s="12"/>
      <c r="BM5" s="12"/>
      <c r="BN5" s="12"/>
      <c r="BO5" s="12"/>
    </row>
    <row r="6" spans="1:67" ht="17.25" customHeight="1" x14ac:dyDescent="0.2">
      <c r="A6" s="53"/>
      <c r="B6" s="18" t="s">
        <v>10</v>
      </c>
      <c r="C6" s="37">
        <v>1</v>
      </c>
      <c r="D6" s="10">
        <v>1</v>
      </c>
      <c r="E6" s="11">
        <v>45997</v>
      </c>
      <c r="F6" s="11">
        <f t="shared" si="9"/>
        <v>45997</v>
      </c>
      <c r="G6" s="36" t="str" cm="1">
        <f t="array" ref="G6">_xlfn.TEXTJOIN(", ", TRUE, IF(담당자!C5:I5="O", 담당자!C$2:I$2, ""))</f>
        <v>안규태</v>
      </c>
      <c r="H6" s="12"/>
      <c r="I6" s="12"/>
      <c r="J6" s="12"/>
      <c r="K6" s="12"/>
      <c r="L6" s="32"/>
      <c r="M6" s="33"/>
      <c r="N6" s="44"/>
      <c r="O6" s="47"/>
      <c r="P6" s="47"/>
      <c r="Q6" s="45"/>
      <c r="R6" s="12"/>
      <c r="S6" s="32"/>
      <c r="T6" s="33"/>
      <c r="U6" s="12"/>
      <c r="V6" s="12"/>
      <c r="W6" s="12"/>
      <c r="X6" s="12"/>
      <c r="Y6" s="12"/>
      <c r="Z6" s="32"/>
      <c r="AA6" s="33"/>
      <c r="AB6" s="12"/>
      <c r="AC6" s="12"/>
      <c r="AD6" s="12"/>
      <c r="AE6" s="12"/>
      <c r="AF6" s="12"/>
      <c r="AG6" s="32"/>
      <c r="AH6" s="33"/>
      <c r="AI6" s="12"/>
      <c r="AJ6" s="12"/>
      <c r="AK6" s="12"/>
      <c r="AL6" s="12"/>
      <c r="AM6" s="12"/>
      <c r="AN6" s="32"/>
      <c r="AO6" s="33"/>
      <c r="AP6" s="12"/>
      <c r="AQ6" s="12"/>
      <c r="AR6" s="12"/>
      <c r="AS6" s="12"/>
      <c r="AT6" s="12"/>
      <c r="AU6" s="32"/>
      <c r="AV6" s="33"/>
      <c r="AW6" s="12"/>
      <c r="AX6" s="12"/>
      <c r="AY6" s="12"/>
      <c r="AZ6" s="12"/>
      <c r="BA6" s="12"/>
      <c r="BB6" s="32"/>
      <c r="BC6" s="33"/>
      <c r="BD6" s="12"/>
      <c r="BE6" s="12"/>
      <c r="BF6" s="12"/>
      <c r="BG6" s="12"/>
      <c r="BH6" s="12"/>
      <c r="BI6" s="32"/>
      <c r="BJ6" s="33"/>
      <c r="BK6" s="12"/>
      <c r="BL6" s="12"/>
      <c r="BM6" s="12"/>
      <c r="BN6" s="12"/>
      <c r="BO6" s="12"/>
    </row>
    <row r="7" spans="1:67" ht="17.25" customHeight="1" x14ac:dyDescent="0.2">
      <c r="A7" s="53"/>
      <c r="B7" s="18" t="s">
        <v>11</v>
      </c>
      <c r="C7" s="37">
        <v>1</v>
      </c>
      <c r="D7" s="10">
        <v>1</v>
      </c>
      <c r="E7" s="11">
        <v>46010</v>
      </c>
      <c r="F7" s="11">
        <f t="shared" si="9"/>
        <v>46010</v>
      </c>
      <c r="G7" s="36" t="str" cm="1">
        <f t="array" ref="G7">_xlfn.TEXTJOIN(", ", TRUE, IF(담당자!C6:I6="O", 담당자!C$2:I$2, ""))</f>
        <v>안규태</v>
      </c>
      <c r="H7" s="12"/>
      <c r="I7" s="12"/>
      <c r="J7" s="12"/>
      <c r="K7" s="12"/>
      <c r="L7" s="32"/>
      <c r="M7" s="33"/>
      <c r="N7" s="44"/>
      <c r="O7" s="47"/>
      <c r="P7" s="47"/>
      <c r="Q7" s="45"/>
      <c r="R7" s="12"/>
      <c r="S7" s="32"/>
      <c r="T7" s="33"/>
      <c r="U7" s="12"/>
      <c r="V7" s="12"/>
      <c r="W7" s="12"/>
      <c r="X7" s="12"/>
      <c r="Y7" s="12"/>
      <c r="Z7" s="32"/>
      <c r="AA7" s="33"/>
      <c r="AB7" s="12"/>
      <c r="AC7" s="12"/>
      <c r="AD7" s="12"/>
      <c r="AE7" s="12"/>
      <c r="AF7" s="12"/>
      <c r="AG7" s="32"/>
      <c r="AH7" s="33"/>
      <c r="AI7" s="12"/>
      <c r="AJ7" s="12"/>
      <c r="AK7" s="12"/>
      <c r="AL7" s="12"/>
      <c r="AM7" s="12"/>
      <c r="AN7" s="32"/>
      <c r="AO7" s="33"/>
      <c r="AP7" s="12"/>
      <c r="AQ7" s="12"/>
      <c r="AR7" s="12"/>
      <c r="AS7" s="12"/>
      <c r="AT7" s="12"/>
      <c r="AU7" s="32"/>
      <c r="AV7" s="33"/>
      <c r="AW7" s="12"/>
      <c r="AX7" s="12"/>
      <c r="AY7" s="12"/>
      <c r="AZ7" s="12"/>
      <c r="BA7" s="12"/>
      <c r="BB7" s="32"/>
      <c r="BC7" s="33"/>
      <c r="BD7" s="12"/>
      <c r="BE7" s="12"/>
      <c r="BF7" s="12"/>
      <c r="BG7" s="12"/>
      <c r="BH7" s="12"/>
      <c r="BI7" s="32"/>
      <c r="BJ7" s="33"/>
      <c r="BK7" s="12"/>
      <c r="BL7" s="12"/>
      <c r="BM7" s="12"/>
      <c r="BN7" s="12"/>
      <c r="BO7" s="12"/>
    </row>
    <row r="8" spans="1:67" ht="17.25" customHeight="1" x14ac:dyDescent="0.2">
      <c r="A8" s="49" t="s">
        <v>12</v>
      </c>
      <c r="B8" s="41" t="s">
        <v>24</v>
      </c>
      <c r="C8" s="37">
        <f>IF(COUNTBLANK(C9:C11)=4, "", SUM(C9:C11)/COUNT(C9:C11))</f>
        <v>1</v>
      </c>
      <c r="D8" s="10">
        <f>IF(AND(F8&lt;&gt;"", E8&lt;&gt;""), F8-E8+1, "")</f>
        <v>11</v>
      </c>
      <c r="E8" s="11">
        <f>IF(COUNTA(E9:E11)=0,"", MIN(E9:E11))</f>
        <v>45951</v>
      </c>
      <c r="F8" s="11">
        <f>IF(COUNTBLANK(F9:F11)=4,"", MAX(F9:F11))</f>
        <v>45961</v>
      </c>
      <c r="G8" s="38" t="str" cm="1">
        <f t="array" ref="G8">_xlfn.TEXTJOIN(", ", TRUE, IF(담당자!C7:I7="O", 담당자!C$2:I$2, ""))</f>
        <v/>
      </c>
      <c r="H8" s="12"/>
      <c r="I8" s="12"/>
      <c r="J8" s="12"/>
      <c r="K8" s="12"/>
      <c r="L8" s="32"/>
      <c r="M8" s="33"/>
      <c r="N8" s="44"/>
      <c r="O8" s="47"/>
      <c r="P8" s="47"/>
      <c r="Q8" s="45"/>
      <c r="R8" s="12"/>
      <c r="S8" s="32"/>
      <c r="T8" s="33"/>
      <c r="U8" s="12"/>
      <c r="V8" s="12"/>
      <c r="W8" s="12"/>
      <c r="X8" s="12"/>
      <c r="Y8" s="12"/>
      <c r="Z8" s="32"/>
      <c r="AA8" s="33"/>
      <c r="AB8" s="12"/>
      <c r="AC8" s="12"/>
      <c r="AD8" s="12"/>
      <c r="AE8" s="12"/>
      <c r="AF8" s="12"/>
      <c r="AG8" s="32"/>
      <c r="AH8" s="33"/>
      <c r="AI8" s="12"/>
      <c r="AJ8" s="12"/>
      <c r="AK8" s="12"/>
      <c r="AL8" s="12"/>
      <c r="AM8" s="12"/>
      <c r="AN8" s="32"/>
      <c r="AO8" s="33"/>
      <c r="AP8" s="12"/>
      <c r="AQ8" s="12"/>
      <c r="AR8" s="12"/>
      <c r="AS8" s="12"/>
      <c r="AT8" s="12"/>
      <c r="AU8" s="32"/>
      <c r="AV8" s="33"/>
      <c r="AW8" s="12"/>
      <c r="AX8" s="12"/>
      <c r="AY8" s="12"/>
      <c r="AZ8" s="12"/>
      <c r="BA8" s="12"/>
      <c r="BB8" s="32"/>
      <c r="BC8" s="33"/>
      <c r="BD8" s="12"/>
      <c r="BE8" s="12"/>
      <c r="BF8" s="12"/>
      <c r="BG8" s="12"/>
      <c r="BH8" s="12"/>
      <c r="BI8" s="32"/>
      <c r="BJ8" s="33"/>
      <c r="BK8" s="12"/>
      <c r="BL8" s="12"/>
      <c r="BM8" s="12"/>
      <c r="BN8" s="12"/>
      <c r="BO8" s="12"/>
    </row>
    <row r="9" spans="1:67" ht="17.25" customHeight="1" x14ac:dyDescent="0.2">
      <c r="A9" s="50"/>
      <c r="B9" s="42" t="s">
        <v>23</v>
      </c>
      <c r="C9" s="37">
        <v>1</v>
      </c>
      <c r="D9" s="10">
        <v>4</v>
      </c>
      <c r="E9" s="11">
        <v>45951</v>
      </c>
      <c r="F9" s="11">
        <f>IF(AND(E9&lt;&gt;"", D9&lt;&gt;""), E9+D9-1, "")</f>
        <v>45954</v>
      </c>
      <c r="G9" s="36" t="str" cm="1">
        <f t="array" ref="G9">_xlfn.TEXTJOIN(", ", TRUE, IF(담당자!C8:I8="O", 담당자!C$2:I$2, ""))</f>
        <v>팀 전체</v>
      </c>
      <c r="H9" s="12"/>
      <c r="I9" s="12"/>
      <c r="J9" s="12"/>
      <c r="K9" s="12"/>
      <c r="L9" s="32"/>
      <c r="M9" s="33"/>
      <c r="N9" s="44"/>
      <c r="O9" s="47"/>
      <c r="P9" s="47"/>
      <c r="Q9" s="45"/>
      <c r="R9" s="12"/>
      <c r="S9" s="32"/>
      <c r="T9" s="33"/>
      <c r="U9" s="12"/>
      <c r="V9" s="12"/>
      <c r="W9" s="12"/>
      <c r="X9" s="12"/>
      <c r="Y9" s="12"/>
      <c r="Z9" s="32"/>
      <c r="AA9" s="33"/>
      <c r="AB9" s="12"/>
      <c r="AC9" s="12"/>
      <c r="AD9" s="12"/>
      <c r="AE9" s="12"/>
      <c r="AF9" s="12"/>
      <c r="AG9" s="32"/>
      <c r="AH9" s="33"/>
      <c r="AI9" s="12"/>
      <c r="AJ9" s="12"/>
      <c r="AK9" s="12"/>
      <c r="AL9" s="12"/>
      <c r="AM9" s="12"/>
      <c r="AN9" s="32"/>
      <c r="AO9" s="33"/>
      <c r="AP9" s="12"/>
      <c r="AQ9" s="12"/>
      <c r="AR9" s="12"/>
      <c r="AS9" s="12"/>
      <c r="AT9" s="12"/>
      <c r="AU9" s="32"/>
      <c r="AV9" s="33"/>
      <c r="AW9" s="12"/>
      <c r="AX9" s="12"/>
      <c r="AY9" s="12"/>
      <c r="AZ9" s="12"/>
      <c r="BA9" s="12"/>
      <c r="BB9" s="32"/>
      <c r="BC9" s="33"/>
      <c r="BD9" s="12"/>
      <c r="BE9" s="12"/>
      <c r="BF9" s="12"/>
      <c r="BG9" s="12"/>
      <c r="BH9" s="12"/>
      <c r="BI9" s="32"/>
      <c r="BJ9" s="33"/>
      <c r="BK9" s="12"/>
      <c r="BL9" s="12"/>
      <c r="BM9" s="12"/>
      <c r="BN9" s="12"/>
      <c r="BO9" s="12"/>
    </row>
    <row r="10" spans="1:67" ht="17.25" customHeight="1" x14ac:dyDescent="0.2">
      <c r="A10" s="50"/>
      <c r="B10" s="42" t="s">
        <v>25</v>
      </c>
      <c r="C10" s="37">
        <v>1</v>
      </c>
      <c r="D10" s="10">
        <v>2</v>
      </c>
      <c r="E10" s="11">
        <v>45957</v>
      </c>
      <c r="F10" s="11">
        <f>IF(AND(E10&lt;&gt;"", D10&lt;&gt;""), E10+D10-1, "")</f>
        <v>45958</v>
      </c>
      <c r="G10" s="36" t="str" cm="1">
        <f t="array" ref="G10">_xlfn.TEXTJOIN(", ", TRUE, IF(담당자!C9:I9="O", 담당자!C$2:I$2, ""))</f>
        <v>김수민, 신운용</v>
      </c>
      <c r="H10" s="12"/>
      <c r="I10" s="12"/>
      <c r="J10" s="12"/>
      <c r="K10" s="12"/>
      <c r="L10" s="32"/>
      <c r="M10" s="33"/>
      <c r="N10" s="44"/>
      <c r="O10" s="47"/>
      <c r="P10" s="47"/>
      <c r="Q10" s="45"/>
      <c r="R10" s="12"/>
      <c r="S10" s="32"/>
      <c r="T10" s="33"/>
      <c r="U10" s="12"/>
      <c r="V10" s="12"/>
      <c r="W10" s="12"/>
      <c r="X10" s="12"/>
      <c r="Y10" s="12"/>
      <c r="Z10" s="32"/>
      <c r="AA10" s="33"/>
      <c r="AB10" s="12"/>
      <c r="AC10" s="12"/>
      <c r="AD10" s="12"/>
      <c r="AE10" s="12"/>
      <c r="AF10" s="12"/>
      <c r="AG10" s="32"/>
      <c r="AH10" s="33"/>
      <c r="AI10" s="12"/>
      <c r="AJ10" s="12"/>
      <c r="AK10" s="12"/>
      <c r="AL10" s="12"/>
      <c r="AM10" s="12"/>
      <c r="AN10" s="32"/>
      <c r="AO10" s="33"/>
      <c r="AP10" s="12"/>
      <c r="AQ10" s="12"/>
      <c r="AR10" s="12"/>
      <c r="AS10" s="12"/>
      <c r="AT10" s="12"/>
      <c r="AU10" s="32"/>
      <c r="AV10" s="33"/>
      <c r="AW10" s="12"/>
      <c r="AX10" s="12"/>
      <c r="AY10" s="12"/>
      <c r="AZ10" s="12"/>
      <c r="BA10" s="12"/>
      <c r="BB10" s="32"/>
      <c r="BC10" s="33"/>
      <c r="BD10" s="12"/>
      <c r="BE10" s="12"/>
      <c r="BF10" s="12"/>
      <c r="BG10" s="12"/>
      <c r="BH10" s="12"/>
      <c r="BI10" s="32"/>
      <c r="BJ10" s="33"/>
      <c r="BK10" s="12"/>
      <c r="BL10" s="12"/>
      <c r="BM10" s="12"/>
      <c r="BN10" s="12"/>
      <c r="BO10" s="12"/>
    </row>
    <row r="11" spans="1:67" ht="17.25" customHeight="1" x14ac:dyDescent="0.2">
      <c r="A11" s="50"/>
      <c r="B11" s="42" t="s">
        <v>50</v>
      </c>
      <c r="C11" s="37">
        <v>1</v>
      </c>
      <c r="D11" s="10">
        <v>2</v>
      </c>
      <c r="E11" s="11">
        <f>F10+2</f>
        <v>45960</v>
      </c>
      <c r="F11" s="11">
        <f t="shared" ref="F11:F29" si="10">IF(AND(E11&lt;&gt;"", D11&lt;&gt;""), E11+D11-1, "")</f>
        <v>45961</v>
      </c>
      <c r="G11" s="36" t="str" cm="1">
        <f t="array" ref="G11">_xlfn.TEXTJOIN(", ", TRUE, IF(담당자!C10:I10="O", 담당자!C$2:I$2, ""))</f>
        <v>안규태, 장지훈</v>
      </c>
      <c r="H11" s="12"/>
      <c r="I11" s="12"/>
      <c r="J11" s="12"/>
      <c r="K11" s="12"/>
      <c r="L11" s="32"/>
      <c r="M11" s="33"/>
      <c r="N11" s="44"/>
      <c r="O11" s="47"/>
      <c r="P11" s="47"/>
      <c r="Q11" s="45"/>
      <c r="R11" s="12"/>
      <c r="S11" s="32"/>
      <c r="T11" s="33"/>
      <c r="U11" s="12"/>
      <c r="V11" s="12"/>
      <c r="W11" s="12"/>
      <c r="X11" s="12"/>
      <c r="Y11" s="12"/>
      <c r="Z11" s="32"/>
      <c r="AA11" s="33"/>
      <c r="AB11" s="12"/>
      <c r="AC11" s="12"/>
      <c r="AD11" s="12"/>
      <c r="AE11" s="12"/>
      <c r="AF11" s="12"/>
      <c r="AG11" s="32"/>
      <c r="AH11" s="33"/>
      <c r="AI11" s="12"/>
      <c r="AJ11" s="12"/>
      <c r="AK11" s="12"/>
      <c r="AL11" s="12"/>
      <c r="AM11" s="12"/>
      <c r="AN11" s="32"/>
      <c r="AO11" s="33"/>
      <c r="AP11" s="12"/>
      <c r="AQ11" s="12"/>
      <c r="AR11" s="12"/>
      <c r="AS11" s="12"/>
      <c r="AT11" s="12"/>
      <c r="AU11" s="32"/>
      <c r="AV11" s="33"/>
      <c r="AW11" s="12"/>
      <c r="AX11" s="12"/>
      <c r="AY11" s="12"/>
      <c r="AZ11" s="12"/>
      <c r="BA11" s="12"/>
      <c r="BB11" s="32"/>
      <c r="BC11" s="33"/>
      <c r="BD11" s="12"/>
      <c r="BE11" s="12"/>
      <c r="BF11" s="12"/>
      <c r="BG11" s="12"/>
      <c r="BH11" s="12"/>
      <c r="BI11" s="32"/>
      <c r="BJ11" s="33"/>
      <c r="BK11" s="12"/>
      <c r="BL11" s="12"/>
      <c r="BM11" s="12"/>
      <c r="BN11" s="12"/>
      <c r="BO11" s="12"/>
    </row>
    <row r="12" spans="1:67" ht="17.25" customHeight="1" x14ac:dyDescent="0.2">
      <c r="A12" s="50"/>
      <c r="B12" s="41" t="s">
        <v>28</v>
      </c>
      <c r="C12" s="37">
        <f>IF(COUNTBLANK(C13:C16)=4, "", SUM(C13:C16)/COUNT(C13:C16))</f>
        <v>1</v>
      </c>
      <c r="D12" s="10">
        <f>IF(AND(F12&lt;&gt;"", E12&lt;&gt;""), F12-E12+1, "")</f>
        <v>15</v>
      </c>
      <c r="E12" s="11">
        <f>IF(COUNTA(E13:E16)=0,"", MIN(E13:E16))</f>
        <v>45961</v>
      </c>
      <c r="F12" s="11">
        <f>IF(COUNTBLANK(F13:F16)=4,"", MAX(F13:F16))</f>
        <v>45975</v>
      </c>
      <c r="G12" s="38" t="str" cm="1">
        <f t="array" ref="G12">_xlfn.TEXTJOIN(", ", TRUE, IF(담당자!C12:I12="O", 담당자!C$2:I$2, ""))</f>
        <v/>
      </c>
      <c r="H12" s="12"/>
      <c r="I12" s="12"/>
      <c r="J12" s="12"/>
      <c r="K12" s="12"/>
      <c r="L12" s="32"/>
      <c r="M12" s="33"/>
      <c r="N12" s="44"/>
      <c r="O12" s="47"/>
      <c r="P12" s="47"/>
      <c r="Q12" s="45"/>
      <c r="R12" s="12"/>
      <c r="S12" s="32"/>
      <c r="T12" s="33"/>
      <c r="U12" s="12"/>
      <c r="V12" s="12"/>
      <c r="W12" s="12"/>
      <c r="X12" s="12"/>
      <c r="Y12" s="12"/>
      <c r="Z12" s="32"/>
      <c r="AA12" s="33"/>
      <c r="AB12" s="12"/>
      <c r="AC12" s="12"/>
      <c r="AD12" s="12"/>
      <c r="AE12" s="12"/>
      <c r="AF12" s="12"/>
      <c r="AG12" s="32"/>
      <c r="AH12" s="33"/>
      <c r="AI12" s="12"/>
      <c r="AJ12" s="12"/>
      <c r="AK12" s="12"/>
      <c r="AL12" s="12"/>
      <c r="AM12" s="12"/>
      <c r="AN12" s="32"/>
      <c r="AO12" s="33"/>
      <c r="AP12" s="12"/>
      <c r="AQ12" s="12"/>
      <c r="AR12" s="12"/>
      <c r="AS12" s="12"/>
      <c r="AT12" s="12"/>
      <c r="AU12" s="32"/>
      <c r="AV12" s="33"/>
      <c r="AW12" s="12"/>
      <c r="AX12" s="12"/>
      <c r="AY12" s="12"/>
      <c r="AZ12" s="12"/>
      <c r="BA12" s="12"/>
      <c r="BB12" s="32"/>
      <c r="BC12" s="33"/>
      <c r="BD12" s="12"/>
      <c r="BE12" s="12"/>
      <c r="BF12" s="12"/>
      <c r="BG12" s="12"/>
      <c r="BH12" s="12"/>
      <c r="BI12" s="32"/>
      <c r="BJ12" s="33"/>
      <c r="BK12" s="12"/>
      <c r="BL12" s="12"/>
      <c r="BM12" s="12"/>
      <c r="BN12" s="12"/>
      <c r="BO12" s="12"/>
    </row>
    <row r="13" spans="1:67" ht="17.25" customHeight="1" x14ac:dyDescent="0.2">
      <c r="A13" s="50"/>
      <c r="B13" s="43" t="s">
        <v>32</v>
      </c>
      <c r="C13" s="37">
        <v>1</v>
      </c>
      <c r="D13" s="10">
        <v>4</v>
      </c>
      <c r="E13" s="11">
        <v>45962</v>
      </c>
      <c r="F13" s="11">
        <f t="shared" si="10"/>
        <v>45965</v>
      </c>
      <c r="G13" s="36" t="str" cm="1">
        <f t="array" ref="G13">_xlfn.TEXTJOIN(", ", TRUE, IF(담당자!C13:I13="O", 담당자!C$2:I$2, ""))</f>
        <v>안규태</v>
      </c>
      <c r="H13" s="12"/>
      <c r="J13" s="12"/>
      <c r="K13" s="12"/>
      <c r="L13" s="32"/>
      <c r="M13" s="33"/>
      <c r="N13" s="44"/>
      <c r="O13" s="47"/>
      <c r="P13" s="47"/>
      <c r="Q13" s="45"/>
      <c r="R13" s="12"/>
      <c r="S13" s="32"/>
      <c r="T13" s="33"/>
      <c r="U13" s="12"/>
      <c r="V13" s="12"/>
      <c r="W13" s="12"/>
      <c r="X13" s="12"/>
      <c r="Z13" s="32"/>
      <c r="AA13" s="33"/>
      <c r="AB13" s="12"/>
      <c r="AC13" s="12"/>
      <c r="AD13" s="12"/>
      <c r="AE13" s="12"/>
      <c r="AF13" s="12"/>
      <c r="AG13" s="32"/>
      <c r="AH13" s="33"/>
      <c r="AI13" s="12"/>
      <c r="AJ13" s="12"/>
      <c r="AK13" s="12"/>
      <c r="AL13" s="12"/>
      <c r="AM13" s="12"/>
      <c r="AN13" s="32"/>
      <c r="AO13" s="33"/>
      <c r="AP13" s="12"/>
      <c r="AQ13" s="12"/>
      <c r="AR13" s="12"/>
      <c r="AS13" s="12"/>
      <c r="AT13" s="12"/>
      <c r="AU13" s="32"/>
      <c r="AV13" s="33"/>
      <c r="AW13" s="12"/>
      <c r="AX13" s="12"/>
      <c r="AY13" s="12"/>
      <c r="AZ13" s="12"/>
      <c r="BA13" s="12"/>
      <c r="BB13" s="32"/>
      <c r="BC13" s="33"/>
      <c r="BD13" s="12"/>
      <c r="BE13" s="12"/>
      <c r="BF13" s="12"/>
      <c r="BG13" s="12"/>
      <c r="BH13" s="12"/>
      <c r="BI13" s="32"/>
      <c r="BJ13" s="33"/>
      <c r="BK13" s="12"/>
      <c r="BL13" s="12"/>
      <c r="BM13" s="12"/>
      <c r="BN13" s="12"/>
      <c r="BO13" s="12"/>
    </row>
    <row r="14" spans="1:67" ht="17.25" customHeight="1" x14ac:dyDescent="0.2">
      <c r="A14" s="50"/>
      <c r="B14" s="43" t="s">
        <v>33</v>
      </c>
      <c r="C14" s="37">
        <v>1</v>
      </c>
      <c r="D14" s="10">
        <v>4</v>
      </c>
      <c r="E14" s="11">
        <v>45962</v>
      </c>
      <c r="F14" s="11">
        <f t="shared" si="10"/>
        <v>45965</v>
      </c>
      <c r="G14" s="36" t="str" cm="1">
        <f t="array" ref="G14">_xlfn.TEXTJOIN(", ", TRUE, IF(담당자!C14:I14="O", 담당자!C$2:I$2, ""))</f>
        <v>안규태, 김수민</v>
      </c>
      <c r="H14" s="12"/>
      <c r="I14" s="12"/>
      <c r="J14" s="12"/>
      <c r="K14" s="12"/>
      <c r="L14" s="32"/>
      <c r="M14" s="33"/>
      <c r="N14" s="44"/>
      <c r="O14" s="47"/>
      <c r="P14" s="47"/>
      <c r="Q14" s="45"/>
      <c r="R14" s="12"/>
      <c r="S14" s="32"/>
      <c r="T14" s="33"/>
      <c r="U14" s="12"/>
      <c r="V14" s="12"/>
      <c r="W14" s="12"/>
      <c r="X14" s="12"/>
      <c r="Y14" s="12"/>
      <c r="Z14" s="32"/>
      <c r="AA14" s="33"/>
      <c r="AB14" s="12"/>
      <c r="AC14" s="12"/>
      <c r="AD14" s="12"/>
      <c r="AE14" s="12"/>
      <c r="AF14" s="12"/>
      <c r="AG14" s="32"/>
      <c r="AH14" s="33"/>
      <c r="AI14" s="12"/>
      <c r="AJ14" s="12"/>
      <c r="AK14" s="12"/>
      <c r="AL14" s="12"/>
      <c r="AM14" s="12"/>
      <c r="AN14" s="32"/>
      <c r="AO14" s="33"/>
      <c r="AP14" s="12"/>
      <c r="AQ14" s="12"/>
      <c r="AR14" s="12"/>
      <c r="AS14" s="12"/>
      <c r="AT14" s="12"/>
      <c r="AU14" s="32"/>
      <c r="AV14" s="33"/>
      <c r="AW14" s="12"/>
      <c r="AX14" s="12"/>
      <c r="AY14" s="12"/>
      <c r="AZ14" s="12"/>
      <c r="BA14" s="12"/>
      <c r="BB14" s="32"/>
      <c r="BC14" s="33"/>
      <c r="BD14" s="12"/>
      <c r="BE14" s="12"/>
      <c r="BF14" s="12"/>
      <c r="BG14" s="12"/>
      <c r="BH14" s="12"/>
      <c r="BI14" s="32"/>
      <c r="BJ14" s="33"/>
      <c r="BK14" s="12"/>
      <c r="BL14" s="12"/>
      <c r="BM14" s="12"/>
      <c r="BN14" s="12"/>
      <c r="BO14" s="12"/>
    </row>
    <row r="15" spans="1:67" ht="17.25" customHeight="1" x14ac:dyDescent="0.2">
      <c r="A15" s="50"/>
      <c r="B15" s="43" t="s">
        <v>34</v>
      </c>
      <c r="C15" s="37">
        <v>1</v>
      </c>
      <c r="D15" s="10">
        <v>5</v>
      </c>
      <c r="E15" s="11">
        <v>45961</v>
      </c>
      <c r="F15" s="11">
        <f t="shared" si="10"/>
        <v>45965</v>
      </c>
      <c r="G15" s="36" t="str" cm="1">
        <f t="array" ref="G15">_xlfn.TEXTJOIN(", ", TRUE, IF(담당자!C15:I15="O", 담당자!C$2:I$2, ""))</f>
        <v>안규태, 백여랑</v>
      </c>
      <c r="H15" s="12"/>
      <c r="I15" s="12"/>
      <c r="J15" s="12"/>
      <c r="K15" s="12"/>
      <c r="L15" s="32"/>
      <c r="M15" s="33"/>
      <c r="N15" s="44"/>
      <c r="O15" s="47"/>
      <c r="P15" s="47"/>
      <c r="Q15" s="45"/>
      <c r="R15" s="12"/>
      <c r="S15" s="32"/>
      <c r="T15" s="33"/>
      <c r="U15" s="12"/>
      <c r="V15" s="12"/>
      <c r="W15" s="12"/>
      <c r="X15" s="12"/>
      <c r="Y15" s="12"/>
      <c r="Z15" s="32"/>
      <c r="AA15" s="33"/>
      <c r="AB15" s="12"/>
      <c r="AC15" s="12"/>
      <c r="AD15" s="12"/>
      <c r="AE15" s="12"/>
      <c r="AF15" s="12"/>
      <c r="AG15" s="32"/>
      <c r="AH15" s="33"/>
      <c r="AI15" s="12"/>
      <c r="AJ15" s="12"/>
      <c r="AK15" s="12"/>
      <c r="AL15" s="12"/>
      <c r="AM15" s="12"/>
      <c r="AN15" s="32"/>
      <c r="AO15" s="33"/>
      <c r="AP15" s="12"/>
      <c r="AQ15" s="12"/>
      <c r="AR15" s="12"/>
      <c r="AS15" s="12"/>
      <c r="AT15" s="12"/>
      <c r="AU15" s="32"/>
      <c r="AV15" s="33"/>
      <c r="AW15" s="12"/>
      <c r="AX15" s="12"/>
      <c r="AY15" s="12"/>
      <c r="AZ15" s="12"/>
      <c r="BA15" s="12"/>
      <c r="BB15" s="32"/>
      <c r="BC15" s="33"/>
      <c r="BD15" s="12"/>
      <c r="BE15" s="12"/>
      <c r="BF15" s="12"/>
      <c r="BG15" s="12"/>
      <c r="BH15" s="12"/>
      <c r="BI15" s="32"/>
      <c r="BJ15" s="33"/>
      <c r="BK15" s="12"/>
      <c r="BL15" s="12"/>
      <c r="BM15" s="12"/>
      <c r="BN15" s="12"/>
      <c r="BO15" s="12"/>
    </row>
    <row r="16" spans="1:67" ht="17.25" customHeight="1" x14ac:dyDescent="0.2">
      <c r="A16" s="50"/>
      <c r="B16" s="43" t="s">
        <v>35</v>
      </c>
      <c r="C16" s="37">
        <v>1</v>
      </c>
      <c r="D16" s="10">
        <v>15</v>
      </c>
      <c r="E16" s="11">
        <v>45961</v>
      </c>
      <c r="F16" s="11">
        <f t="shared" si="10"/>
        <v>45975</v>
      </c>
      <c r="G16" s="36" t="str" cm="1">
        <f t="array" ref="G16">_xlfn.TEXTJOIN(", ", TRUE, IF(담당자!C16:I16="O", 담당자!C$2:I$2, ""))</f>
        <v>김수민, 신운용, 장지훈</v>
      </c>
      <c r="H16" s="12"/>
      <c r="I16" s="12"/>
      <c r="J16" s="12"/>
      <c r="K16" s="12"/>
      <c r="L16" s="32"/>
      <c r="M16" s="33"/>
      <c r="N16" s="44"/>
      <c r="O16" s="47"/>
      <c r="P16" s="47"/>
      <c r="Q16" s="45"/>
      <c r="R16" s="12"/>
      <c r="S16" s="32"/>
      <c r="T16" s="33"/>
      <c r="U16" s="12"/>
      <c r="V16" s="12"/>
      <c r="W16" s="12"/>
      <c r="X16" s="12"/>
      <c r="Y16" s="12"/>
      <c r="Z16" s="32"/>
      <c r="AA16" s="33"/>
      <c r="AB16" s="12"/>
      <c r="AC16" s="12"/>
      <c r="AD16" s="12"/>
      <c r="AE16" s="12"/>
      <c r="AF16" s="12"/>
      <c r="AG16" s="32"/>
      <c r="AH16" s="33"/>
      <c r="AI16" s="12"/>
      <c r="AJ16" s="12"/>
      <c r="AK16" s="12"/>
      <c r="AL16" s="12"/>
      <c r="AM16" s="12"/>
      <c r="AN16" s="32"/>
      <c r="AO16" s="33"/>
      <c r="AP16" s="12"/>
      <c r="AQ16" s="12"/>
      <c r="AR16" s="12"/>
      <c r="AS16" s="12"/>
      <c r="AT16" s="12"/>
      <c r="AU16" s="32"/>
      <c r="AV16" s="33"/>
      <c r="AW16" s="12"/>
      <c r="AX16" s="12"/>
      <c r="AY16" s="12"/>
      <c r="AZ16" s="12"/>
      <c r="BA16" s="12"/>
      <c r="BB16" s="32"/>
      <c r="BC16" s="33"/>
      <c r="BD16" s="12"/>
      <c r="BE16" s="12"/>
      <c r="BF16" s="12"/>
      <c r="BG16" s="12"/>
      <c r="BH16" s="12"/>
      <c r="BI16" s="32"/>
      <c r="BJ16" s="33"/>
      <c r="BK16" s="12"/>
      <c r="BL16" s="12"/>
      <c r="BM16" s="12"/>
      <c r="BN16" s="12"/>
      <c r="BO16" s="12"/>
    </row>
    <row r="17" spans="1:67" ht="17.25" customHeight="1" x14ac:dyDescent="0.2">
      <c r="A17" s="50"/>
      <c r="B17" s="41" t="s">
        <v>29</v>
      </c>
      <c r="C17" s="37">
        <v>1</v>
      </c>
      <c r="D17" s="10">
        <v>1</v>
      </c>
      <c r="E17" s="11">
        <v>45965</v>
      </c>
      <c r="F17" s="11">
        <f t="shared" si="10"/>
        <v>45965</v>
      </c>
      <c r="G17" s="36" t="str" cm="1">
        <f t="array" ref="G17">_xlfn.TEXTJOIN(", ", TRUE, IF(담당자!C17:I17="O", 담당자!C$2:I$2, ""))</f>
        <v>안규태</v>
      </c>
      <c r="H17" s="12"/>
      <c r="I17" s="12"/>
      <c r="J17" s="12"/>
      <c r="K17" s="12"/>
      <c r="L17" s="32"/>
      <c r="M17" s="33"/>
      <c r="N17" s="44"/>
      <c r="O17" s="47"/>
      <c r="P17" s="47"/>
      <c r="Q17" s="45"/>
      <c r="R17" s="12"/>
      <c r="S17" s="32"/>
      <c r="T17" s="33"/>
      <c r="U17" s="12"/>
      <c r="V17" s="12"/>
      <c r="W17" s="12"/>
      <c r="X17" s="12"/>
      <c r="Y17" s="12"/>
      <c r="Z17" s="32"/>
      <c r="AA17" s="33"/>
      <c r="AB17" s="12"/>
      <c r="AC17" s="12"/>
      <c r="AD17" s="12"/>
      <c r="AE17" s="12"/>
      <c r="AF17" s="12"/>
      <c r="AG17" s="32"/>
      <c r="AH17" s="33"/>
      <c r="AI17" s="12"/>
      <c r="AJ17" s="12"/>
      <c r="AK17" s="12"/>
      <c r="AL17" s="12"/>
      <c r="AM17" s="12"/>
      <c r="AN17" s="32"/>
      <c r="AO17" s="33"/>
      <c r="AP17" s="12"/>
      <c r="AQ17" s="12"/>
      <c r="AR17" s="12"/>
      <c r="AS17" s="12"/>
      <c r="AT17" s="12"/>
      <c r="AU17" s="32"/>
      <c r="AV17" s="33"/>
      <c r="AW17" s="12"/>
      <c r="AX17" s="12"/>
      <c r="AY17" s="12"/>
      <c r="AZ17" s="12"/>
      <c r="BA17" s="12"/>
      <c r="BB17" s="32"/>
      <c r="BC17" s="33"/>
      <c r="BD17" s="12"/>
      <c r="BE17" s="12"/>
      <c r="BF17" s="12"/>
      <c r="BG17" s="12"/>
      <c r="BH17" s="12"/>
      <c r="BI17" s="32"/>
      <c r="BJ17" s="33"/>
      <c r="BK17" s="12"/>
      <c r="BL17" s="12"/>
      <c r="BM17" s="12"/>
      <c r="BN17" s="12"/>
      <c r="BO17" s="12"/>
    </row>
    <row r="18" spans="1:67" ht="17.25" customHeight="1" x14ac:dyDescent="0.2">
      <c r="A18" s="50"/>
      <c r="B18" s="41" t="s">
        <v>30</v>
      </c>
      <c r="C18" s="37">
        <f>IF(COUNTBLANK(C19:C20)=2, "", SUM(C19:C20)/COUNT(C19:C20))</f>
        <v>1</v>
      </c>
      <c r="D18" s="10">
        <f>IF(AND(F18&lt;&gt;"", E18&lt;&gt;""), F18-E18+1, "")</f>
        <v>31</v>
      </c>
      <c r="E18" s="11">
        <f>IF(COUNTA(E19:E20)=0,"", MIN(E19:E20))</f>
        <v>45966</v>
      </c>
      <c r="F18" s="11">
        <f>IF(COUNTBLANK(F19:F20)=2,"", MAX(F19:F20))</f>
        <v>45996</v>
      </c>
      <c r="G18" s="38" t="str" cm="1">
        <f t="array" ref="G18">_xlfn.TEXTJOIN(", ", TRUE, IF(담당자!C18:I18="O", 담당자!C$2:I$2, ""))</f>
        <v/>
      </c>
      <c r="H18" s="12"/>
      <c r="I18" s="12"/>
      <c r="J18" s="12"/>
      <c r="K18" s="12"/>
      <c r="L18" s="32"/>
      <c r="M18" s="33"/>
      <c r="N18" s="44"/>
      <c r="O18" s="47"/>
      <c r="P18" s="47"/>
      <c r="Q18" s="45"/>
      <c r="R18" s="12"/>
      <c r="S18" s="32"/>
      <c r="T18" s="33"/>
      <c r="U18" s="12"/>
      <c r="V18" s="12"/>
      <c r="W18" s="12"/>
      <c r="X18" s="12"/>
      <c r="Y18" s="12"/>
      <c r="Z18" s="32"/>
      <c r="AA18" s="33"/>
      <c r="AB18" s="12"/>
      <c r="AC18" s="12"/>
      <c r="AD18" s="12"/>
      <c r="AE18" s="12"/>
      <c r="AF18" s="12"/>
      <c r="AG18" s="32"/>
      <c r="AH18" s="33"/>
      <c r="AI18" s="12"/>
      <c r="AJ18" s="12"/>
      <c r="AK18" s="12"/>
      <c r="AL18" s="12"/>
      <c r="AM18" s="12"/>
      <c r="AN18" s="32"/>
      <c r="AO18" s="33"/>
      <c r="AP18" s="12"/>
      <c r="AQ18" s="12"/>
      <c r="AR18" s="12"/>
      <c r="AS18" s="12"/>
      <c r="AT18" s="12"/>
      <c r="AU18" s="32"/>
      <c r="AV18" s="33"/>
      <c r="AW18" s="12"/>
      <c r="AX18" s="12"/>
      <c r="AY18" s="12"/>
      <c r="AZ18" s="12"/>
      <c r="BA18" s="12"/>
      <c r="BB18" s="32"/>
      <c r="BC18" s="33"/>
      <c r="BD18" s="12"/>
      <c r="BE18" s="12"/>
      <c r="BF18" s="12"/>
      <c r="BG18" s="12"/>
      <c r="BH18" s="12"/>
      <c r="BI18" s="32"/>
      <c r="BJ18" s="33"/>
      <c r="BK18" s="12"/>
      <c r="BL18" s="12"/>
      <c r="BM18" s="12"/>
      <c r="BN18" s="12"/>
      <c r="BO18" s="12"/>
    </row>
    <row r="19" spans="1:67" ht="17.25" customHeight="1" x14ac:dyDescent="0.2">
      <c r="A19" s="50"/>
      <c r="B19" s="43" t="s">
        <v>36</v>
      </c>
      <c r="C19" s="37">
        <v>1</v>
      </c>
      <c r="D19" s="10">
        <v>31</v>
      </c>
      <c r="E19" s="11">
        <v>45966</v>
      </c>
      <c r="F19" s="11">
        <f t="shared" si="10"/>
        <v>45996</v>
      </c>
      <c r="G19" s="36" t="str" cm="1">
        <f t="array" ref="G19">_xlfn.TEXTJOIN(", ", TRUE, IF(담당자!C19:I19="O", 담당자!C$2:I$2, ""))</f>
        <v>팀 전체</v>
      </c>
      <c r="H19" s="12"/>
      <c r="I19" s="12"/>
      <c r="J19" s="12"/>
      <c r="K19" s="12"/>
      <c r="L19" s="32"/>
      <c r="M19" s="33"/>
      <c r="N19" s="44"/>
      <c r="O19" s="47"/>
      <c r="P19" s="47"/>
      <c r="Q19" s="45"/>
      <c r="R19" s="12"/>
      <c r="S19" s="32"/>
      <c r="T19" s="33"/>
      <c r="U19" s="12"/>
      <c r="V19" s="12"/>
      <c r="W19" s="12"/>
      <c r="X19" s="12"/>
      <c r="Y19" s="12"/>
      <c r="Z19" s="32"/>
      <c r="AA19" s="33"/>
      <c r="AB19" s="12"/>
      <c r="AC19" s="12"/>
      <c r="AD19" s="12"/>
      <c r="AE19" s="12"/>
      <c r="AF19" s="12"/>
      <c r="AG19" s="32"/>
      <c r="AH19" s="33"/>
      <c r="AI19" s="12"/>
      <c r="AJ19" s="12"/>
      <c r="AK19" s="12"/>
      <c r="AL19" s="12"/>
      <c r="AM19" s="12"/>
      <c r="AN19" s="32"/>
      <c r="AO19" s="33"/>
      <c r="AP19" s="12"/>
      <c r="AQ19" s="12"/>
      <c r="AR19" s="12"/>
      <c r="AS19" s="12"/>
      <c r="AT19" s="12"/>
      <c r="AU19" s="32"/>
      <c r="AV19" s="33"/>
      <c r="AW19" s="12"/>
      <c r="AX19" s="12"/>
      <c r="AY19" s="12"/>
      <c r="AZ19" s="12"/>
      <c r="BA19" s="12"/>
      <c r="BB19" s="32"/>
      <c r="BC19" s="33"/>
      <c r="BD19" s="12"/>
      <c r="BE19" s="12"/>
      <c r="BF19" s="12"/>
      <c r="BG19" s="12"/>
      <c r="BH19" s="12"/>
      <c r="BI19" s="32"/>
      <c r="BJ19" s="33"/>
      <c r="BK19" s="12"/>
      <c r="BL19" s="12"/>
      <c r="BM19" s="12"/>
      <c r="BN19" s="12"/>
      <c r="BO19" s="12"/>
    </row>
    <row r="20" spans="1:67" ht="17.25" customHeight="1" x14ac:dyDescent="0.2">
      <c r="A20" s="50"/>
      <c r="B20" s="43" t="s">
        <v>37</v>
      </c>
      <c r="C20" s="37">
        <v>1</v>
      </c>
      <c r="D20" s="10">
        <v>31</v>
      </c>
      <c r="E20" s="11">
        <v>45966</v>
      </c>
      <c r="F20" s="11">
        <f t="shared" si="10"/>
        <v>45996</v>
      </c>
      <c r="G20" s="36" t="str" cm="1">
        <f t="array" ref="G20">_xlfn.TEXTJOIN(", ", TRUE, IF(담당자!C20:I20="O", 담당자!C$2:I$2, ""))</f>
        <v>팀 전체</v>
      </c>
      <c r="H20" s="12"/>
      <c r="I20" s="12"/>
      <c r="J20" s="12"/>
      <c r="K20" s="12"/>
      <c r="L20" s="32"/>
      <c r="M20" s="33"/>
      <c r="N20" s="44"/>
      <c r="O20" s="47"/>
      <c r="P20" s="47"/>
      <c r="Q20" s="45"/>
      <c r="R20" s="12"/>
      <c r="S20" s="32"/>
      <c r="T20" s="33"/>
      <c r="U20" s="12"/>
      <c r="V20" s="12"/>
      <c r="W20" s="12"/>
      <c r="X20" s="12"/>
      <c r="Y20" s="12"/>
      <c r="Z20" s="32"/>
      <c r="AA20" s="33"/>
      <c r="AB20" s="12"/>
      <c r="AC20" s="12"/>
      <c r="AD20" s="12"/>
      <c r="AE20" s="12"/>
      <c r="AF20" s="12"/>
      <c r="AG20" s="32"/>
      <c r="AH20" s="33"/>
      <c r="AI20" s="12"/>
      <c r="AJ20" s="12"/>
      <c r="AK20" s="12"/>
      <c r="AL20" s="12"/>
      <c r="AM20" s="12"/>
      <c r="AN20" s="32"/>
      <c r="AO20" s="33"/>
      <c r="AP20" s="12"/>
      <c r="AQ20" s="12"/>
      <c r="AR20" s="12"/>
      <c r="AS20" s="12"/>
      <c r="AT20" s="12"/>
      <c r="AU20" s="32"/>
      <c r="AV20" s="33"/>
      <c r="AW20" s="12"/>
      <c r="AX20" s="12"/>
      <c r="AY20" s="12"/>
      <c r="AZ20" s="12"/>
      <c r="BA20" s="12"/>
      <c r="BB20" s="32"/>
      <c r="BC20" s="33"/>
      <c r="BD20" s="12"/>
      <c r="BE20" s="12"/>
      <c r="BF20" s="12"/>
      <c r="BG20" s="12"/>
      <c r="BH20" s="12"/>
      <c r="BI20" s="32"/>
      <c r="BJ20" s="33"/>
      <c r="BK20" s="12"/>
      <c r="BL20" s="12"/>
      <c r="BM20" s="12"/>
      <c r="BN20" s="12"/>
      <c r="BO20" s="12"/>
    </row>
    <row r="21" spans="1:67" ht="17.25" customHeight="1" x14ac:dyDescent="0.2">
      <c r="A21" s="50"/>
      <c r="B21" s="41" t="s">
        <v>31</v>
      </c>
      <c r="C21" s="37">
        <f>IF(COUNTBLANK(C22:C23)=2, "", SUM(C22:C23)/COUNT(C22:C23))</f>
        <v>1</v>
      </c>
      <c r="D21" s="10">
        <f>IF(AND(F21&lt;&gt;"", E21&lt;&gt;""), F21-E21+1, "")</f>
        <v>7</v>
      </c>
      <c r="E21" s="11">
        <f>IF(COUNTA(E22:E23)=0,"", MIN(E22:E23))</f>
        <v>45997</v>
      </c>
      <c r="F21" s="11">
        <f>IF(COUNTBLANK(F22:F23)=2,"", MAX(F22:F23))</f>
        <v>46003</v>
      </c>
      <c r="G21" s="38" t="str" cm="1">
        <f t="array" ref="G21">_xlfn.TEXTJOIN(", ", TRUE, IF(담당자!C21:I21="O", 담당자!C$2:I$2, ""))</f>
        <v/>
      </c>
      <c r="H21" s="12"/>
      <c r="I21" s="12"/>
      <c r="J21" s="12"/>
      <c r="K21" s="12"/>
      <c r="L21" s="32"/>
      <c r="M21" s="33"/>
      <c r="N21" s="44"/>
      <c r="O21" s="47"/>
      <c r="P21" s="47"/>
      <c r="Q21" s="45"/>
      <c r="R21" s="12"/>
      <c r="S21" s="32"/>
      <c r="T21" s="33"/>
      <c r="U21" s="12"/>
      <c r="V21" s="12"/>
      <c r="W21" s="12"/>
      <c r="X21" s="12"/>
      <c r="Y21" s="12"/>
      <c r="Z21" s="32"/>
      <c r="AA21" s="33"/>
      <c r="AB21" s="12"/>
      <c r="AC21" s="12"/>
      <c r="AD21" s="12"/>
      <c r="AE21" s="12"/>
      <c r="AF21" s="12"/>
      <c r="AG21" s="32"/>
      <c r="AH21" s="33"/>
      <c r="AI21" s="12"/>
      <c r="AJ21" s="12"/>
      <c r="AK21" s="12"/>
      <c r="AL21" s="12"/>
      <c r="AM21" s="12"/>
      <c r="AN21" s="32"/>
      <c r="AO21" s="33"/>
      <c r="AP21" s="12"/>
      <c r="AQ21" s="12"/>
      <c r="AR21" s="12"/>
      <c r="AS21" s="12"/>
      <c r="AT21" s="12"/>
      <c r="AU21" s="32"/>
      <c r="AV21" s="33"/>
      <c r="AW21" s="12"/>
      <c r="AX21" s="12"/>
      <c r="AY21" s="12"/>
      <c r="AZ21" s="12"/>
      <c r="BA21" s="12"/>
      <c r="BB21" s="32"/>
      <c r="BC21" s="33"/>
      <c r="BD21" s="12"/>
      <c r="BE21" s="12"/>
      <c r="BF21" s="12"/>
      <c r="BG21" s="12"/>
      <c r="BH21" s="12"/>
      <c r="BI21" s="32"/>
      <c r="BJ21" s="33"/>
      <c r="BK21" s="12"/>
      <c r="BL21" s="12"/>
      <c r="BM21" s="12"/>
      <c r="BN21" s="12"/>
      <c r="BO21" s="12"/>
    </row>
    <row r="22" spans="1:67" ht="17.25" customHeight="1" x14ac:dyDescent="0.2">
      <c r="A22" s="50"/>
      <c r="B22" s="43" t="s">
        <v>38</v>
      </c>
      <c r="C22" s="37">
        <v>1</v>
      </c>
      <c r="D22" s="10">
        <v>7</v>
      </c>
      <c r="E22" s="11">
        <v>45997</v>
      </c>
      <c r="F22" s="11">
        <f t="shared" si="10"/>
        <v>46003</v>
      </c>
      <c r="G22" s="36" t="str" cm="1">
        <f t="array" ref="G22">_xlfn.TEXTJOIN(", ", TRUE, IF(담당자!C22:I22="O", 담당자!C$2:I$2, ""))</f>
        <v>안규태</v>
      </c>
      <c r="H22" s="12"/>
      <c r="I22" s="12"/>
      <c r="J22" s="12"/>
      <c r="K22" s="12"/>
      <c r="L22" s="32"/>
      <c r="M22" s="33"/>
      <c r="N22" s="44"/>
      <c r="O22" s="47"/>
      <c r="P22" s="47"/>
      <c r="Q22" s="45"/>
      <c r="R22" s="12"/>
      <c r="S22" s="32"/>
      <c r="T22" s="33"/>
      <c r="U22" s="12"/>
      <c r="V22" s="12"/>
      <c r="W22" s="12"/>
      <c r="X22" s="12"/>
      <c r="Y22" s="12"/>
      <c r="Z22" s="32"/>
      <c r="AA22" s="33"/>
      <c r="AB22" s="12"/>
      <c r="AC22" s="12"/>
      <c r="AD22" s="12"/>
      <c r="AE22" s="12"/>
      <c r="AF22" s="12"/>
      <c r="AG22" s="32"/>
      <c r="AH22" s="33"/>
      <c r="AI22" s="12"/>
      <c r="AJ22" s="12"/>
      <c r="AK22" s="12"/>
      <c r="AL22" s="12"/>
      <c r="AM22" s="12"/>
      <c r="AN22" s="32"/>
      <c r="AO22" s="33"/>
      <c r="AP22" s="12"/>
      <c r="AQ22" s="12"/>
      <c r="AR22" s="12"/>
      <c r="AS22" s="12"/>
      <c r="AT22" s="12"/>
      <c r="AU22" s="32"/>
      <c r="AV22" s="33"/>
      <c r="AW22" s="12"/>
      <c r="AX22" s="12"/>
      <c r="AY22" s="12"/>
      <c r="AZ22" s="12"/>
      <c r="BA22" s="12"/>
      <c r="BB22" s="32"/>
      <c r="BC22" s="33"/>
      <c r="BD22" s="12"/>
      <c r="BE22" s="12"/>
      <c r="BF22" s="12"/>
      <c r="BG22" s="12"/>
      <c r="BH22" s="12"/>
      <c r="BI22" s="32"/>
      <c r="BJ22" s="33"/>
      <c r="BK22" s="12"/>
      <c r="BL22" s="12"/>
      <c r="BM22" s="12"/>
      <c r="BN22" s="12"/>
      <c r="BO22" s="12"/>
    </row>
    <row r="23" spans="1:67" ht="17.25" customHeight="1" x14ac:dyDescent="0.2">
      <c r="A23" s="50"/>
      <c r="B23" s="43" t="s">
        <v>39</v>
      </c>
      <c r="C23" s="37">
        <v>1</v>
      </c>
      <c r="D23" s="10">
        <v>7</v>
      </c>
      <c r="E23" s="11">
        <v>45997</v>
      </c>
      <c r="F23" s="11">
        <f t="shared" si="10"/>
        <v>46003</v>
      </c>
      <c r="G23" s="36" t="str" cm="1">
        <f t="array" ref="G23">_xlfn.TEXTJOIN(", ", TRUE, IF(담당자!C23:I23="O", 담당자!C$2:I$2, ""))</f>
        <v>팀 전체</v>
      </c>
      <c r="H23" s="12"/>
      <c r="I23" s="12"/>
      <c r="J23" s="12"/>
      <c r="K23" s="40"/>
      <c r="L23" s="32"/>
      <c r="M23" s="33"/>
      <c r="N23" s="44"/>
      <c r="O23" s="47"/>
      <c r="P23" s="47"/>
      <c r="Q23" s="45"/>
      <c r="R23" s="12"/>
      <c r="S23" s="32"/>
      <c r="T23" s="33"/>
      <c r="U23" s="12"/>
      <c r="V23" s="12"/>
      <c r="W23" s="12"/>
      <c r="X23" s="12"/>
      <c r="Y23" s="12"/>
      <c r="Z23" s="32"/>
      <c r="AA23" s="33"/>
      <c r="AB23" s="12"/>
      <c r="AC23" s="12"/>
      <c r="AD23" s="12"/>
      <c r="AE23" s="12"/>
      <c r="AF23" s="12"/>
      <c r="AG23" s="32"/>
      <c r="AH23" s="33"/>
      <c r="AI23" s="12"/>
      <c r="AJ23" s="12"/>
      <c r="AK23" s="12"/>
      <c r="AL23" s="12"/>
      <c r="AM23" s="12"/>
      <c r="AN23" s="32"/>
      <c r="AO23" s="33"/>
      <c r="AP23" s="12"/>
      <c r="AQ23" s="12"/>
      <c r="AR23" s="12"/>
      <c r="AS23" s="12"/>
      <c r="AT23" s="12"/>
      <c r="AU23" s="32"/>
      <c r="AV23" s="33"/>
      <c r="AW23" s="12"/>
      <c r="AX23" s="12"/>
      <c r="AY23" s="12"/>
      <c r="AZ23" s="12"/>
      <c r="BA23" s="12"/>
      <c r="BB23" s="32"/>
      <c r="BC23" s="33"/>
      <c r="BD23" s="12"/>
      <c r="BE23" s="12"/>
      <c r="BF23" s="12"/>
      <c r="BG23" s="12"/>
      <c r="BH23" s="12"/>
      <c r="BI23" s="32"/>
      <c r="BJ23" s="33"/>
      <c r="BK23" s="12"/>
      <c r="BL23" s="12"/>
      <c r="BM23" s="12"/>
      <c r="BN23" s="12"/>
      <c r="BO23" s="12"/>
    </row>
    <row r="24" spans="1:67" ht="17.25" customHeight="1" x14ac:dyDescent="0.2">
      <c r="A24" s="50"/>
      <c r="B24" s="41" t="s">
        <v>40</v>
      </c>
      <c r="C24" s="37">
        <f>IF(COUNTBLANK(C25:C26)=2, "", SUM(C25:C26)/COUNT(C25:C26))</f>
        <v>1</v>
      </c>
      <c r="D24" s="10">
        <f>IF(AND(F24&lt;&gt;"", E24&lt;&gt;""), F24-E24+1, "")</f>
        <v>4</v>
      </c>
      <c r="E24" s="11">
        <f>IF(COUNTA(E25:E26)=0,"", MIN(E25:E26))</f>
        <v>46003</v>
      </c>
      <c r="F24" s="11">
        <f>IF(COUNTBLANK(F25:F26)=2,"", MAX(F25:F26))</f>
        <v>46006</v>
      </c>
      <c r="G24" s="38" t="str" cm="1">
        <f t="array" ref="G24">_xlfn.TEXTJOIN(", ", TRUE, IF(담당자!C24:I24="O", 담당자!C$2:I$2, ""))</f>
        <v/>
      </c>
      <c r="H24" s="12"/>
      <c r="I24" s="12"/>
      <c r="J24" s="12"/>
      <c r="K24" s="12"/>
      <c r="L24" s="32"/>
      <c r="M24" s="33"/>
      <c r="N24" s="44"/>
      <c r="O24" s="47"/>
      <c r="P24" s="47"/>
      <c r="Q24" s="45"/>
      <c r="R24" s="12"/>
      <c r="S24" s="32"/>
      <c r="T24" s="33"/>
      <c r="U24" s="12"/>
      <c r="V24" s="12"/>
      <c r="W24" s="12"/>
      <c r="X24" s="12"/>
      <c r="Y24" s="12"/>
      <c r="Z24" s="32"/>
      <c r="AA24" s="33"/>
      <c r="AB24" s="12"/>
      <c r="AC24" s="12"/>
      <c r="AD24" s="12"/>
      <c r="AE24" s="12"/>
      <c r="AF24" s="12"/>
      <c r="AG24" s="32"/>
      <c r="AH24" s="33"/>
      <c r="AI24" s="12"/>
      <c r="AJ24" s="12"/>
      <c r="AK24" s="12"/>
      <c r="AL24" s="12"/>
      <c r="AM24" s="12"/>
      <c r="AN24" s="32"/>
      <c r="AO24" s="33"/>
      <c r="AP24" s="12"/>
      <c r="AQ24" s="12"/>
      <c r="AR24" s="12"/>
      <c r="AS24" s="12"/>
      <c r="AT24" s="12"/>
      <c r="AU24" s="32"/>
      <c r="AV24" s="33"/>
      <c r="AW24" s="12"/>
      <c r="AX24" s="12"/>
      <c r="AY24" s="12"/>
      <c r="AZ24" s="12"/>
      <c r="BA24" s="12"/>
      <c r="BB24" s="32"/>
      <c r="BC24" s="33"/>
      <c r="BD24" s="12"/>
      <c r="BE24" s="12"/>
      <c r="BF24" s="12"/>
      <c r="BG24" s="12"/>
      <c r="BH24" s="12"/>
      <c r="BI24" s="32"/>
      <c r="BJ24" s="33"/>
      <c r="BK24" s="12"/>
      <c r="BL24" s="12"/>
      <c r="BM24" s="12"/>
      <c r="BN24" s="12"/>
      <c r="BO24" s="12"/>
    </row>
    <row r="25" spans="1:67" ht="17.25" customHeight="1" x14ac:dyDescent="0.2">
      <c r="A25" s="50"/>
      <c r="B25" s="43" t="s">
        <v>41</v>
      </c>
      <c r="C25" s="37">
        <v>1</v>
      </c>
      <c r="D25" s="10">
        <v>4</v>
      </c>
      <c r="E25" s="11">
        <v>46003</v>
      </c>
      <c r="F25" s="11">
        <f t="shared" si="10"/>
        <v>46006</v>
      </c>
      <c r="G25" s="36" t="str" cm="1">
        <f t="array" ref="G25">_xlfn.TEXTJOIN(", ", TRUE, IF(담당자!C25:I25="O", 담당자!C$2:I$2, ""))</f>
        <v>팀 전체</v>
      </c>
      <c r="H25" s="12"/>
      <c r="I25" s="12"/>
      <c r="J25" s="12"/>
      <c r="K25" s="12"/>
      <c r="L25" s="32"/>
      <c r="M25" s="33"/>
      <c r="N25" s="44"/>
      <c r="O25" s="47"/>
      <c r="P25" s="47"/>
      <c r="Q25" s="45"/>
      <c r="R25" s="12"/>
      <c r="S25" s="32"/>
      <c r="T25" s="33"/>
      <c r="U25" s="12"/>
      <c r="V25" s="12"/>
      <c r="W25" s="12"/>
      <c r="X25" s="12"/>
      <c r="Y25" s="12"/>
      <c r="Z25" s="32"/>
      <c r="AA25" s="33"/>
      <c r="AB25" s="12"/>
      <c r="AC25" s="12"/>
      <c r="AD25" s="12"/>
      <c r="AE25" s="12"/>
      <c r="AF25" s="12"/>
      <c r="AG25" s="32"/>
      <c r="AH25" s="33"/>
      <c r="AI25" s="12"/>
      <c r="AJ25" s="12"/>
      <c r="AK25" s="12"/>
      <c r="AL25" s="12"/>
      <c r="AM25" s="12"/>
      <c r="AN25" s="32"/>
      <c r="AO25" s="33"/>
      <c r="AP25" s="12"/>
      <c r="AQ25" s="12"/>
      <c r="AR25" s="12"/>
      <c r="AS25" s="12"/>
      <c r="AT25" s="12"/>
      <c r="AU25" s="32"/>
      <c r="AV25" s="33"/>
      <c r="AW25" s="12"/>
      <c r="AX25" s="12"/>
      <c r="AY25" s="12"/>
      <c r="AZ25" s="12"/>
      <c r="BA25" s="12"/>
      <c r="BB25" s="32"/>
      <c r="BC25" s="33"/>
      <c r="BD25" s="12"/>
      <c r="BE25" s="12"/>
      <c r="BF25" s="12"/>
      <c r="BG25" s="12"/>
      <c r="BH25" s="12"/>
      <c r="BI25" s="32"/>
      <c r="BJ25" s="33"/>
      <c r="BK25" s="12"/>
      <c r="BL25" s="12"/>
      <c r="BM25" s="12"/>
      <c r="BN25" s="12"/>
      <c r="BO25" s="12"/>
    </row>
    <row r="26" spans="1:67" ht="17.25" customHeight="1" x14ac:dyDescent="0.2">
      <c r="A26" s="50"/>
      <c r="B26" s="43" t="s">
        <v>42</v>
      </c>
      <c r="C26" s="37">
        <v>1</v>
      </c>
      <c r="D26" s="10">
        <v>4</v>
      </c>
      <c r="E26" s="11">
        <v>46003</v>
      </c>
      <c r="F26" s="11">
        <f t="shared" si="10"/>
        <v>46006</v>
      </c>
      <c r="G26" s="36" t="str" cm="1">
        <f t="array" ref="G26">_xlfn.TEXTJOIN(", ", TRUE, IF(담당자!C26:I26="O", 담당자!C$2:I$2, ""))</f>
        <v>팀 전체</v>
      </c>
      <c r="H26" s="12"/>
      <c r="I26" s="12"/>
      <c r="J26" s="12"/>
      <c r="K26" s="12"/>
      <c r="L26" s="32"/>
      <c r="M26" s="33"/>
      <c r="N26" s="44"/>
      <c r="O26" s="47"/>
      <c r="P26" s="47"/>
      <c r="Q26" s="45"/>
      <c r="R26" s="12"/>
      <c r="S26" s="32"/>
      <c r="T26" s="33"/>
      <c r="U26" s="12"/>
      <c r="V26" s="12"/>
      <c r="W26" s="12"/>
      <c r="X26" s="12"/>
      <c r="Y26" s="12"/>
      <c r="Z26" s="32"/>
      <c r="AA26" s="33"/>
      <c r="AB26" s="12"/>
      <c r="AC26" s="12"/>
      <c r="AD26" s="12"/>
      <c r="AE26" s="12"/>
      <c r="AF26" s="12"/>
      <c r="AG26" s="32"/>
      <c r="AH26" s="33"/>
      <c r="AI26" s="12"/>
      <c r="AJ26" s="12"/>
      <c r="AK26" s="12"/>
      <c r="AL26" s="12"/>
      <c r="AM26" s="12"/>
      <c r="AN26" s="32"/>
      <c r="AO26" s="33"/>
      <c r="AP26" s="12"/>
      <c r="AQ26" s="12"/>
      <c r="AR26" s="12"/>
      <c r="AS26" s="12"/>
      <c r="AT26" s="12"/>
      <c r="AU26" s="32"/>
      <c r="AV26" s="33"/>
      <c r="AW26" s="12"/>
      <c r="AX26" s="12"/>
      <c r="AY26" s="12"/>
      <c r="AZ26" s="12"/>
      <c r="BA26" s="12"/>
      <c r="BB26" s="32"/>
      <c r="BC26" s="33"/>
      <c r="BD26" s="12"/>
      <c r="BE26" s="12"/>
      <c r="BF26" s="12"/>
      <c r="BG26" s="12"/>
      <c r="BH26" s="12"/>
      <c r="BI26" s="32"/>
      <c r="BJ26" s="33"/>
      <c r="BK26" s="12"/>
      <c r="BL26" s="12"/>
      <c r="BM26" s="12"/>
      <c r="BN26" s="12"/>
      <c r="BO26" s="12"/>
    </row>
    <row r="27" spans="1:67" ht="17.25" customHeight="1" x14ac:dyDescent="0.2">
      <c r="A27" s="50"/>
      <c r="B27" s="41" t="s">
        <v>47</v>
      </c>
      <c r="C27" s="37">
        <f>IF(COUNTBLANK(C28:C29)=2, "", SUM(C28:C29)/COUNT(C28:C29))</f>
        <v>1</v>
      </c>
      <c r="D27" s="10">
        <f>IF(AND(F27&lt;&gt;"", E27&lt;&gt;""), F27-E27+1, "")</f>
        <v>4</v>
      </c>
      <c r="E27" s="11">
        <f>IF(COUNTA(E28:E29)=0,"", MIN(E28:E29))</f>
        <v>46006</v>
      </c>
      <c r="F27" s="11">
        <f>IF(COUNTBLANK(F28:F29)=2,"", MAX(F28:F29))</f>
        <v>46009</v>
      </c>
      <c r="G27" s="38" t="str" cm="1">
        <f t="array" ref="G27">_xlfn.TEXTJOIN(", ", TRUE, IF(담당자!C24:I24="O", 담당자!C$2:I$2, ""))</f>
        <v/>
      </c>
      <c r="H27" s="12"/>
      <c r="I27" s="12"/>
      <c r="J27" s="12"/>
      <c r="K27" s="12"/>
      <c r="L27" s="32"/>
      <c r="M27" s="33"/>
      <c r="N27" s="44"/>
      <c r="O27" s="47"/>
      <c r="P27" s="47"/>
      <c r="Q27" s="45"/>
      <c r="R27" s="12"/>
      <c r="S27" s="32"/>
      <c r="T27" s="33"/>
      <c r="U27" s="12"/>
      <c r="V27" s="12"/>
      <c r="W27" s="12"/>
      <c r="X27" s="12"/>
      <c r="Y27" s="12"/>
      <c r="Z27" s="32"/>
      <c r="AA27" s="33"/>
      <c r="AB27" s="12"/>
      <c r="AC27" s="12"/>
      <c r="AD27" s="12"/>
      <c r="AE27" s="12"/>
      <c r="AF27" s="12"/>
      <c r="AG27" s="32"/>
      <c r="AH27" s="33"/>
      <c r="AI27" s="12"/>
      <c r="AJ27" s="12"/>
      <c r="AK27" s="12"/>
      <c r="AL27" s="12"/>
      <c r="AM27" s="12"/>
      <c r="AN27" s="32"/>
      <c r="AO27" s="33"/>
      <c r="AP27" s="12"/>
      <c r="AQ27" s="12"/>
      <c r="AR27" s="12"/>
      <c r="AS27" s="12"/>
      <c r="AT27" s="12"/>
      <c r="AU27" s="32"/>
      <c r="AV27" s="33"/>
      <c r="AW27" s="12"/>
      <c r="AX27" s="12"/>
      <c r="AY27" s="12"/>
      <c r="AZ27" s="12"/>
      <c r="BA27" s="12"/>
      <c r="BB27" s="32"/>
      <c r="BC27" s="33"/>
      <c r="BD27" s="12"/>
      <c r="BE27" s="12"/>
      <c r="BF27" s="12"/>
      <c r="BG27" s="12"/>
      <c r="BH27" s="12"/>
      <c r="BI27" s="32"/>
      <c r="BJ27" s="33"/>
      <c r="BK27" s="12"/>
      <c r="BL27" s="12"/>
      <c r="BM27" s="12"/>
      <c r="BN27" s="12"/>
      <c r="BO27" s="12"/>
    </row>
    <row r="28" spans="1:67" ht="17.25" customHeight="1" x14ac:dyDescent="0.2">
      <c r="A28" s="50"/>
      <c r="B28" s="43" t="s">
        <v>48</v>
      </c>
      <c r="C28" s="37">
        <v>1</v>
      </c>
      <c r="D28" s="10">
        <v>4</v>
      </c>
      <c r="E28" s="11">
        <v>46006</v>
      </c>
      <c r="F28" s="11">
        <f t="shared" si="10"/>
        <v>46009</v>
      </c>
      <c r="G28" s="36" t="str" cm="1">
        <f t="array" ref="G28">_xlfn.TEXTJOIN(", ", TRUE, IF(담당자!C28:I28="O", 담당자!C$2:I$2, ""))</f>
        <v>팀 전체</v>
      </c>
      <c r="H28" s="12"/>
      <c r="I28" s="12"/>
      <c r="J28" s="12"/>
      <c r="K28" s="12"/>
      <c r="L28" s="32"/>
      <c r="M28" s="33"/>
      <c r="N28" s="44"/>
      <c r="O28" s="47"/>
      <c r="P28" s="47"/>
      <c r="Q28" s="45"/>
      <c r="R28" s="12"/>
      <c r="S28" s="32"/>
      <c r="T28" s="33"/>
      <c r="U28" s="12"/>
      <c r="V28" s="12"/>
      <c r="W28" s="12"/>
      <c r="X28" s="12"/>
      <c r="Y28" s="12"/>
      <c r="Z28" s="32"/>
      <c r="AA28" s="33"/>
      <c r="AB28" s="12"/>
      <c r="AC28" s="12"/>
      <c r="AD28" s="12"/>
      <c r="AE28" s="12"/>
      <c r="AF28" s="12"/>
      <c r="AG28" s="32"/>
      <c r="AH28" s="33"/>
      <c r="AI28" s="12"/>
      <c r="AJ28" s="12"/>
      <c r="AK28" s="12"/>
      <c r="AL28" s="12"/>
      <c r="AM28" s="12"/>
      <c r="AN28" s="32"/>
      <c r="AO28" s="33"/>
      <c r="AP28" s="12"/>
      <c r="AQ28" s="12"/>
      <c r="AR28" s="12"/>
      <c r="AS28" s="12"/>
      <c r="AT28" s="12"/>
      <c r="AU28" s="32"/>
      <c r="AV28" s="33"/>
      <c r="AW28" s="12"/>
      <c r="AX28" s="12"/>
      <c r="AY28" s="12"/>
      <c r="AZ28" s="12"/>
      <c r="BA28" s="12"/>
      <c r="BB28" s="32"/>
      <c r="BC28" s="33"/>
      <c r="BD28" s="12"/>
      <c r="BE28" s="12"/>
      <c r="BF28" s="12"/>
      <c r="BG28" s="12"/>
      <c r="BH28" s="12"/>
      <c r="BI28" s="32"/>
      <c r="BJ28" s="33"/>
      <c r="BK28" s="12"/>
      <c r="BL28" s="12"/>
      <c r="BM28" s="12"/>
      <c r="BN28" s="12"/>
      <c r="BO28" s="12"/>
    </row>
    <row r="29" spans="1:67" ht="17.25" customHeight="1" x14ac:dyDescent="0.2">
      <c r="A29" s="51"/>
      <c r="B29" s="43" t="s">
        <v>49</v>
      </c>
      <c r="C29" s="37">
        <v>1</v>
      </c>
      <c r="D29" s="10">
        <v>4</v>
      </c>
      <c r="E29" s="11">
        <v>46006</v>
      </c>
      <c r="F29" s="11">
        <f t="shared" si="10"/>
        <v>46009</v>
      </c>
      <c r="G29" s="36" t="str" cm="1">
        <f t="array" ref="G29">_xlfn.TEXTJOIN(", ", TRUE, IF(담당자!C29:I29="O", 담당자!C$2:I$2, ""))</f>
        <v>팀 전체</v>
      </c>
      <c r="H29" s="12"/>
      <c r="I29" s="12"/>
      <c r="J29" s="12"/>
      <c r="K29" s="12"/>
      <c r="L29" s="32"/>
      <c r="M29" s="33"/>
      <c r="N29" s="44"/>
      <c r="O29" s="47"/>
      <c r="P29" s="47"/>
      <c r="Q29" s="45"/>
      <c r="R29" s="12"/>
      <c r="S29" s="32"/>
      <c r="T29" s="33"/>
      <c r="U29" s="12"/>
      <c r="V29" s="12"/>
      <c r="W29" s="12"/>
      <c r="X29" s="12"/>
      <c r="Y29" s="12"/>
      <c r="Z29" s="32"/>
      <c r="AA29" s="33"/>
      <c r="AB29" s="12"/>
      <c r="AC29" s="12"/>
      <c r="AD29" s="12"/>
      <c r="AE29" s="12"/>
      <c r="AF29" s="12"/>
      <c r="AG29" s="32"/>
      <c r="AH29" s="33"/>
      <c r="AI29" s="12"/>
      <c r="AJ29" s="12"/>
      <c r="AK29" s="12"/>
      <c r="AL29" s="12"/>
      <c r="AM29" s="12"/>
      <c r="AN29" s="32"/>
      <c r="AO29" s="33"/>
      <c r="AP29" s="12"/>
      <c r="AQ29" s="12"/>
      <c r="AR29" s="12"/>
      <c r="AS29" s="12"/>
      <c r="AT29" s="12"/>
      <c r="AU29" s="32"/>
      <c r="AV29" s="33"/>
      <c r="AW29" s="12"/>
      <c r="AX29" s="12"/>
      <c r="AY29" s="12"/>
      <c r="AZ29" s="12"/>
      <c r="BA29" s="12"/>
      <c r="BB29" s="32"/>
      <c r="BC29" s="33"/>
      <c r="BD29" s="12"/>
      <c r="BE29" s="12"/>
      <c r="BF29" s="12"/>
      <c r="BG29" s="12"/>
      <c r="BH29" s="12"/>
      <c r="BI29" s="32"/>
      <c r="BJ29" s="33"/>
      <c r="BK29" s="12"/>
      <c r="BL29" s="12"/>
      <c r="BM29" s="12"/>
      <c r="BN29" s="12"/>
      <c r="BO29" s="12"/>
    </row>
    <row r="30" spans="1:67" ht="17.25" customHeight="1" x14ac:dyDescent="0.2">
      <c r="E30" s="14"/>
      <c r="F30" s="14"/>
      <c r="H30" s="13"/>
      <c r="I30" s="13"/>
      <c r="J30" s="13"/>
      <c r="K30" s="13"/>
      <c r="L30" s="22"/>
      <c r="M30" s="26"/>
      <c r="N30" s="13"/>
      <c r="O30" s="48" t="s">
        <v>46</v>
      </c>
      <c r="P30" s="48"/>
      <c r="Q30" s="13"/>
      <c r="R30" s="13"/>
      <c r="S30" s="22"/>
      <c r="T30" s="26"/>
      <c r="U30" s="13"/>
      <c r="V30" s="13"/>
      <c r="W30" s="13"/>
    </row>
    <row r="31" spans="1:67" ht="13.5" customHeight="1" x14ac:dyDescent="0.2">
      <c r="E31" s="14"/>
      <c r="F31" s="14"/>
      <c r="H31" s="13"/>
      <c r="I31" s="13"/>
      <c r="J31" s="13"/>
      <c r="K31" s="13"/>
      <c r="L31" s="22"/>
      <c r="M31" s="26"/>
      <c r="N31" s="13"/>
      <c r="O31" s="13"/>
      <c r="P31" s="13"/>
      <c r="Q31" s="13"/>
      <c r="R31" s="13"/>
      <c r="S31" s="22"/>
      <c r="T31" s="26"/>
      <c r="U31" s="13"/>
      <c r="V31" s="13"/>
      <c r="W31" s="13"/>
    </row>
    <row r="32" spans="1:67" ht="13.5" customHeight="1" x14ac:dyDescent="0.2">
      <c r="E32" s="14"/>
      <c r="F32" s="14"/>
      <c r="H32" s="13"/>
      <c r="I32" s="13"/>
      <c r="J32" s="13"/>
      <c r="K32" s="13"/>
      <c r="L32" s="22"/>
      <c r="M32" s="26"/>
      <c r="N32" s="13"/>
      <c r="O32" s="13"/>
      <c r="P32" s="13"/>
      <c r="Q32" s="13"/>
      <c r="R32" s="13"/>
      <c r="S32" s="22"/>
      <c r="T32" s="26"/>
      <c r="U32" s="13"/>
      <c r="V32" s="13"/>
      <c r="W32" s="13"/>
    </row>
    <row r="33" spans="5:23" ht="13.5" customHeight="1" x14ac:dyDescent="0.2">
      <c r="E33" s="14"/>
      <c r="F33" s="14"/>
      <c r="H33" s="13"/>
      <c r="I33" s="13"/>
      <c r="J33" s="13"/>
      <c r="K33" s="13"/>
      <c r="L33" s="22"/>
      <c r="M33" s="26"/>
      <c r="N33" s="13"/>
      <c r="O33" s="13"/>
      <c r="P33" s="13"/>
      <c r="Q33" s="13"/>
      <c r="R33" s="13"/>
      <c r="S33" s="22"/>
      <c r="T33" s="26"/>
      <c r="U33" s="13"/>
      <c r="V33" s="13"/>
      <c r="W33" s="13"/>
    </row>
    <row r="34" spans="5:23" ht="17.25" customHeight="1" x14ac:dyDescent="0.2">
      <c r="E34" s="15"/>
      <c r="F34" s="15"/>
    </row>
    <row r="35" spans="5:23" ht="17.25" customHeight="1" x14ac:dyDescent="0.2">
      <c r="E35" s="15"/>
      <c r="F35" s="15"/>
    </row>
    <row r="36" spans="5:23" ht="17.25" customHeight="1" x14ac:dyDescent="0.2">
      <c r="E36" s="15"/>
      <c r="F36" s="15"/>
    </row>
    <row r="37" spans="5:23" ht="17.25" customHeight="1" x14ac:dyDescent="0.2">
      <c r="E37" s="15"/>
      <c r="F37" s="15"/>
    </row>
    <row r="38" spans="5:23" ht="17.25" customHeight="1" x14ac:dyDescent="0.2">
      <c r="E38" s="15"/>
      <c r="F38" s="15"/>
    </row>
    <row r="39" spans="5:23" ht="17.25" customHeight="1" x14ac:dyDescent="0.2">
      <c r="E39" s="15"/>
      <c r="F39" s="15"/>
    </row>
    <row r="40" spans="5:23" ht="17.25" customHeight="1" x14ac:dyDescent="0.2">
      <c r="E40" s="15"/>
      <c r="F40" s="15"/>
    </row>
    <row r="41" spans="5:23" ht="17.25" customHeight="1" x14ac:dyDescent="0.2">
      <c r="E41" s="15"/>
      <c r="F41" s="15"/>
    </row>
    <row r="42" spans="5:23" ht="17.25" customHeight="1" x14ac:dyDescent="0.2">
      <c r="E42" s="15"/>
      <c r="F42" s="15"/>
    </row>
    <row r="43" spans="5:23" ht="17.25" customHeight="1" x14ac:dyDescent="0.2">
      <c r="E43" s="15"/>
      <c r="F43" s="15"/>
    </row>
    <row r="44" spans="5:23" ht="17.25" customHeight="1" x14ac:dyDescent="0.2">
      <c r="E44" s="15"/>
      <c r="F44" s="15"/>
    </row>
    <row r="45" spans="5:23" ht="17.25" customHeight="1" x14ac:dyDescent="0.2">
      <c r="E45" s="15"/>
      <c r="F45" s="15"/>
    </row>
    <row r="46" spans="5:23" ht="17.25" customHeight="1" x14ac:dyDescent="0.2">
      <c r="E46" s="15"/>
      <c r="F46" s="15"/>
    </row>
    <row r="47" spans="5:23" ht="17.25" customHeight="1" x14ac:dyDescent="0.2">
      <c r="E47" s="15"/>
      <c r="F47" s="15"/>
    </row>
    <row r="48" spans="5:23" ht="17.25" customHeight="1" x14ac:dyDescent="0.2">
      <c r="E48" s="15"/>
      <c r="F48" s="15"/>
    </row>
    <row r="49" spans="5:6" ht="17.25" customHeight="1" x14ac:dyDescent="0.2">
      <c r="E49" s="15"/>
      <c r="F49" s="15"/>
    </row>
    <row r="50" spans="5:6" ht="17.25" customHeight="1" x14ac:dyDescent="0.2">
      <c r="E50" s="15"/>
      <c r="F50" s="15"/>
    </row>
    <row r="51" spans="5:6" ht="17.25" customHeight="1" x14ac:dyDescent="0.2">
      <c r="E51" s="15"/>
      <c r="F51" s="15"/>
    </row>
    <row r="52" spans="5:6" ht="17.25" customHeight="1" x14ac:dyDescent="0.2">
      <c r="E52" s="15"/>
      <c r="F52" s="15"/>
    </row>
    <row r="53" spans="5:6" ht="17.25" customHeight="1" x14ac:dyDescent="0.2">
      <c r="E53" s="15"/>
      <c r="F53" s="15"/>
    </row>
    <row r="54" spans="5:6" ht="17.25" customHeight="1" x14ac:dyDescent="0.2">
      <c r="E54" s="15"/>
      <c r="F54" s="15"/>
    </row>
    <row r="55" spans="5:6" ht="17.25" customHeight="1" x14ac:dyDescent="0.2">
      <c r="E55" s="15"/>
      <c r="F55" s="15"/>
    </row>
    <row r="56" spans="5:6" ht="17.25" customHeight="1" x14ac:dyDescent="0.2">
      <c r="E56" s="15"/>
      <c r="F56" s="15"/>
    </row>
    <row r="57" spans="5:6" ht="17.25" customHeight="1" x14ac:dyDescent="0.2">
      <c r="E57" s="15"/>
      <c r="F57" s="15"/>
    </row>
    <row r="58" spans="5:6" ht="17.25" customHeight="1" x14ac:dyDescent="0.2">
      <c r="E58" s="15"/>
      <c r="F58" s="15"/>
    </row>
    <row r="59" spans="5:6" ht="17.25" customHeight="1" x14ac:dyDescent="0.2">
      <c r="E59" s="15"/>
      <c r="F59" s="15"/>
    </row>
    <row r="60" spans="5:6" ht="17.25" customHeight="1" x14ac:dyDescent="0.2">
      <c r="E60" s="15"/>
      <c r="F60" s="15"/>
    </row>
    <row r="61" spans="5:6" ht="17.25" customHeight="1" x14ac:dyDescent="0.2">
      <c r="E61" s="15"/>
      <c r="F61" s="15"/>
    </row>
    <row r="62" spans="5:6" ht="17.25" customHeight="1" x14ac:dyDescent="0.2">
      <c r="E62" s="15"/>
      <c r="F62" s="15"/>
    </row>
    <row r="63" spans="5:6" ht="17.25" customHeight="1" x14ac:dyDescent="0.2">
      <c r="E63" s="15"/>
      <c r="F63" s="15"/>
    </row>
    <row r="64" spans="5:6" ht="17.25" customHeight="1" x14ac:dyDescent="0.2">
      <c r="E64" s="15"/>
      <c r="F64" s="15"/>
    </row>
    <row r="65" spans="5:6" ht="17.25" customHeight="1" x14ac:dyDescent="0.2">
      <c r="E65" s="15"/>
      <c r="F65" s="15"/>
    </row>
    <row r="66" spans="5:6" ht="17.25" customHeight="1" x14ac:dyDescent="0.2">
      <c r="E66" s="15"/>
      <c r="F66" s="15"/>
    </row>
    <row r="67" spans="5:6" ht="17.25" customHeight="1" x14ac:dyDescent="0.2">
      <c r="E67" s="15"/>
      <c r="F67" s="15"/>
    </row>
    <row r="68" spans="5:6" ht="17.25" customHeight="1" x14ac:dyDescent="0.2">
      <c r="E68" s="15"/>
      <c r="F68" s="15"/>
    </row>
    <row r="69" spans="5:6" ht="17.25" customHeight="1" x14ac:dyDescent="0.2">
      <c r="E69" s="15"/>
      <c r="F69" s="15"/>
    </row>
    <row r="70" spans="5:6" ht="17.25" customHeight="1" x14ac:dyDescent="0.2">
      <c r="E70" s="15"/>
      <c r="F70" s="15"/>
    </row>
    <row r="71" spans="5:6" ht="17.25" customHeight="1" x14ac:dyDescent="0.2">
      <c r="E71" s="15"/>
      <c r="F71" s="15"/>
    </row>
    <row r="72" spans="5:6" ht="17.25" customHeight="1" x14ac:dyDescent="0.2">
      <c r="E72" s="15"/>
      <c r="F72" s="15"/>
    </row>
    <row r="73" spans="5:6" ht="17.25" customHeight="1" x14ac:dyDescent="0.2">
      <c r="E73" s="15"/>
      <c r="F73" s="15"/>
    </row>
    <row r="74" spans="5:6" ht="17.25" customHeight="1" x14ac:dyDescent="0.2">
      <c r="E74" s="15"/>
      <c r="F74" s="15"/>
    </row>
    <row r="75" spans="5:6" ht="17.25" customHeight="1" x14ac:dyDescent="0.2">
      <c r="E75" s="15"/>
      <c r="F75" s="15"/>
    </row>
    <row r="76" spans="5:6" ht="17.25" customHeight="1" x14ac:dyDescent="0.2">
      <c r="E76" s="15"/>
      <c r="F76" s="15"/>
    </row>
    <row r="77" spans="5:6" ht="17.25" customHeight="1" x14ac:dyDescent="0.2">
      <c r="E77" s="15"/>
      <c r="F77" s="15"/>
    </row>
    <row r="78" spans="5:6" ht="17.25" customHeight="1" x14ac:dyDescent="0.2">
      <c r="E78" s="15"/>
      <c r="F78" s="15"/>
    </row>
    <row r="79" spans="5:6" ht="17.25" customHeight="1" x14ac:dyDescent="0.2">
      <c r="E79" s="15"/>
      <c r="F79" s="15"/>
    </row>
    <row r="80" spans="5:6" ht="17.25" customHeight="1" x14ac:dyDescent="0.2">
      <c r="E80" s="15"/>
      <c r="F80" s="15"/>
    </row>
    <row r="81" spans="5:6" ht="17.25" customHeight="1" x14ac:dyDescent="0.2">
      <c r="E81" s="15"/>
      <c r="F81" s="15"/>
    </row>
    <row r="82" spans="5:6" ht="17.25" customHeight="1" x14ac:dyDescent="0.2">
      <c r="E82" s="15"/>
      <c r="F82" s="15"/>
    </row>
    <row r="83" spans="5:6" ht="17.25" customHeight="1" x14ac:dyDescent="0.2">
      <c r="E83" s="15"/>
      <c r="F83" s="15"/>
    </row>
    <row r="84" spans="5:6" ht="17.25" customHeight="1" x14ac:dyDescent="0.2">
      <c r="E84" s="15"/>
      <c r="F84" s="15"/>
    </row>
    <row r="85" spans="5:6" ht="17.25" customHeight="1" x14ac:dyDescent="0.2">
      <c r="E85" s="15"/>
      <c r="F85" s="15"/>
    </row>
    <row r="86" spans="5:6" ht="17.25" customHeight="1" x14ac:dyDescent="0.2">
      <c r="E86" s="15"/>
      <c r="F86" s="15"/>
    </row>
    <row r="87" spans="5:6" ht="17.25" customHeight="1" x14ac:dyDescent="0.2">
      <c r="E87" s="15"/>
      <c r="F87" s="15"/>
    </row>
    <row r="88" spans="5:6" ht="17.25" customHeight="1" x14ac:dyDescent="0.2">
      <c r="E88" s="15"/>
      <c r="F88" s="15"/>
    </row>
    <row r="89" spans="5:6" ht="17.25" customHeight="1" x14ac:dyDescent="0.2">
      <c r="E89" s="15"/>
      <c r="F89" s="15"/>
    </row>
    <row r="90" spans="5:6" ht="17.25" customHeight="1" x14ac:dyDescent="0.2">
      <c r="E90" s="15"/>
      <c r="F90" s="15"/>
    </row>
    <row r="91" spans="5:6" ht="17.25" customHeight="1" x14ac:dyDescent="0.2">
      <c r="E91" s="15"/>
      <c r="F91" s="15"/>
    </row>
    <row r="92" spans="5:6" ht="17.25" customHeight="1" x14ac:dyDescent="0.2">
      <c r="E92" s="15"/>
      <c r="F92" s="15"/>
    </row>
    <row r="93" spans="5:6" ht="17.25" customHeight="1" x14ac:dyDescent="0.2">
      <c r="E93" s="15"/>
      <c r="F93" s="15"/>
    </row>
    <row r="94" spans="5:6" ht="17.25" customHeight="1" x14ac:dyDescent="0.2">
      <c r="E94" s="15"/>
      <c r="F94" s="15"/>
    </row>
    <row r="95" spans="5:6" ht="17.25" customHeight="1" x14ac:dyDescent="0.2">
      <c r="E95" s="15"/>
      <c r="F95" s="15"/>
    </row>
    <row r="96" spans="5:6" ht="17.25" customHeight="1" x14ac:dyDescent="0.2">
      <c r="E96" s="15"/>
      <c r="F96" s="15"/>
    </row>
    <row r="97" spans="5:6" ht="17.25" customHeight="1" x14ac:dyDescent="0.2">
      <c r="E97" s="15"/>
      <c r="F97" s="15"/>
    </row>
    <row r="98" spans="5:6" ht="17.25" customHeight="1" x14ac:dyDescent="0.2">
      <c r="E98" s="15"/>
      <c r="F98" s="15"/>
    </row>
    <row r="99" spans="5:6" ht="17.25" customHeight="1" x14ac:dyDescent="0.2">
      <c r="E99" s="15"/>
      <c r="F99" s="15"/>
    </row>
    <row r="100" spans="5:6" ht="17.25" customHeight="1" x14ac:dyDescent="0.2">
      <c r="E100" s="15"/>
      <c r="F100" s="15"/>
    </row>
    <row r="101" spans="5:6" ht="17.25" customHeight="1" x14ac:dyDescent="0.2">
      <c r="E101" s="15"/>
      <c r="F101" s="15"/>
    </row>
    <row r="102" spans="5:6" ht="17.25" customHeight="1" x14ac:dyDescent="0.2">
      <c r="E102" s="15"/>
      <c r="F102" s="15"/>
    </row>
    <row r="103" spans="5:6" ht="17.25" customHeight="1" x14ac:dyDescent="0.2">
      <c r="E103" s="15"/>
      <c r="F103" s="15"/>
    </row>
    <row r="104" spans="5:6" ht="17.25" customHeight="1" x14ac:dyDescent="0.2">
      <c r="E104" s="15"/>
      <c r="F104" s="15"/>
    </row>
    <row r="105" spans="5:6" ht="17.25" customHeight="1" x14ac:dyDescent="0.2">
      <c r="E105" s="15"/>
      <c r="F105" s="15"/>
    </row>
    <row r="106" spans="5:6" ht="17.25" customHeight="1" x14ac:dyDescent="0.2">
      <c r="E106" s="15"/>
      <c r="F106" s="15"/>
    </row>
    <row r="107" spans="5:6" ht="17.25" customHeight="1" x14ac:dyDescent="0.2">
      <c r="E107" s="15"/>
      <c r="F107" s="15"/>
    </row>
    <row r="108" spans="5:6" ht="17.25" customHeight="1" x14ac:dyDescent="0.2">
      <c r="E108" s="15"/>
      <c r="F108" s="15"/>
    </row>
    <row r="109" spans="5:6" ht="17.25" customHeight="1" x14ac:dyDescent="0.2">
      <c r="E109" s="15"/>
      <c r="F109" s="15"/>
    </row>
    <row r="110" spans="5:6" ht="17.25" customHeight="1" x14ac:dyDescent="0.2">
      <c r="E110" s="15"/>
      <c r="F110" s="15"/>
    </row>
    <row r="111" spans="5:6" ht="17.25" customHeight="1" x14ac:dyDescent="0.2">
      <c r="E111" s="15"/>
      <c r="F111" s="15"/>
    </row>
    <row r="112" spans="5:6" ht="17.25" customHeight="1" x14ac:dyDescent="0.2">
      <c r="E112" s="15"/>
      <c r="F112" s="15"/>
    </row>
    <row r="113" spans="5:6" ht="17.25" customHeight="1" x14ac:dyDescent="0.2">
      <c r="E113" s="15"/>
      <c r="F113" s="15"/>
    </row>
    <row r="114" spans="5:6" ht="17.25" customHeight="1" x14ac:dyDescent="0.2">
      <c r="E114" s="15"/>
      <c r="F114" s="15"/>
    </row>
    <row r="115" spans="5:6" ht="17.25" customHeight="1" x14ac:dyDescent="0.2">
      <c r="E115" s="15"/>
      <c r="F115" s="15"/>
    </row>
    <row r="116" spans="5:6" ht="17.25" customHeight="1" x14ac:dyDescent="0.2">
      <c r="E116" s="15"/>
      <c r="F116" s="15"/>
    </row>
    <row r="117" spans="5:6" ht="17.25" customHeight="1" x14ac:dyDescent="0.2">
      <c r="E117" s="15"/>
      <c r="F117" s="15"/>
    </row>
    <row r="118" spans="5:6" ht="17.25" customHeight="1" x14ac:dyDescent="0.2">
      <c r="E118" s="15"/>
      <c r="F118" s="15"/>
    </row>
    <row r="119" spans="5:6" ht="17.25" customHeight="1" x14ac:dyDescent="0.2">
      <c r="E119" s="15"/>
      <c r="F119" s="15"/>
    </row>
    <row r="120" spans="5:6" ht="17.25" customHeight="1" x14ac:dyDescent="0.2">
      <c r="E120" s="15"/>
      <c r="F120" s="15"/>
    </row>
    <row r="121" spans="5:6" ht="17.25" customHeight="1" x14ac:dyDescent="0.2">
      <c r="E121" s="15"/>
      <c r="F121" s="15"/>
    </row>
    <row r="122" spans="5:6" ht="17.25" customHeight="1" x14ac:dyDescent="0.2">
      <c r="E122" s="15"/>
      <c r="F122" s="15"/>
    </row>
    <row r="123" spans="5:6" ht="17.25" customHeight="1" x14ac:dyDescent="0.2">
      <c r="E123" s="15"/>
      <c r="F123" s="15"/>
    </row>
    <row r="124" spans="5:6" ht="17.25" customHeight="1" x14ac:dyDescent="0.2">
      <c r="E124" s="15"/>
      <c r="F124" s="15"/>
    </row>
    <row r="125" spans="5:6" ht="17.25" customHeight="1" x14ac:dyDescent="0.2">
      <c r="E125" s="15"/>
      <c r="F125" s="15"/>
    </row>
    <row r="126" spans="5:6" ht="17.25" customHeight="1" x14ac:dyDescent="0.2">
      <c r="E126" s="15"/>
      <c r="F126" s="15"/>
    </row>
    <row r="127" spans="5:6" ht="17.25" customHeight="1" x14ac:dyDescent="0.2">
      <c r="E127" s="15"/>
      <c r="F127" s="15"/>
    </row>
    <row r="128" spans="5:6" ht="17.25" customHeight="1" x14ac:dyDescent="0.2">
      <c r="E128" s="15"/>
      <c r="F128" s="15"/>
    </row>
    <row r="129" spans="5:6" ht="17.25" customHeight="1" x14ac:dyDescent="0.2">
      <c r="E129" s="15"/>
      <c r="F129" s="15"/>
    </row>
    <row r="130" spans="5:6" ht="17.25" customHeight="1" x14ac:dyDescent="0.2">
      <c r="E130" s="15"/>
      <c r="F130" s="15"/>
    </row>
    <row r="131" spans="5:6" ht="17.25" customHeight="1" x14ac:dyDescent="0.2">
      <c r="E131" s="15"/>
      <c r="F131" s="15"/>
    </row>
    <row r="132" spans="5:6" ht="17.25" customHeight="1" x14ac:dyDescent="0.2">
      <c r="E132" s="15"/>
      <c r="F132" s="15"/>
    </row>
    <row r="133" spans="5:6" ht="17.25" customHeight="1" x14ac:dyDescent="0.2">
      <c r="E133" s="15"/>
      <c r="F133" s="15"/>
    </row>
    <row r="134" spans="5:6" ht="17.25" customHeight="1" x14ac:dyDescent="0.2">
      <c r="E134" s="15"/>
      <c r="F134" s="15"/>
    </row>
    <row r="135" spans="5:6" ht="17.25" customHeight="1" x14ac:dyDescent="0.2">
      <c r="E135" s="15"/>
      <c r="F135" s="15"/>
    </row>
    <row r="136" spans="5:6" ht="17.25" customHeight="1" x14ac:dyDescent="0.2">
      <c r="E136" s="15"/>
      <c r="F136" s="15"/>
    </row>
    <row r="137" spans="5:6" ht="17.25" customHeight="1" x14ac:dyDescent="0.2">
      <c r="E137" s="15"/>
      <c r="F137" s="15"/>
    </row>
    <row r="138" spans="5:6" ht="17.25" customHeight="1" x14ac:dyDescent="0.2">
      <c r="E138" s="15"/>
      <c r="F138" s="15"/>
    </row>
    <row r="139" spans="5:6" ht="17.25" customHeight="1" x14ac:dyDescent="0.2">
      <c r="E139" s="15"/>
      <c r="F139" s="15"/>
    </row>
    <row r="140" spans="5:6" ht="17.25" customHeight="1" x14ac:dyDescent="0.2">
      <c r="E140" s="15"/>
      <c r="F140" s="15"/>
    </row>
    <row r="141" spans="5:6" ht="17.25" customHeight="1" x14ac:dyDescent="0.2">
      <c r="E141" s="15"/>
      <c r="F141" s="15"/>
    </row>
    <row r="142" spans="5:6" ht="17.25" customHeight="1" x14ac:dyDescent="0.2">
      <c r="E142" s="15"/>
      <c r="F142" s="15"/>
    </row>
    <row r="143" spans="5:6" ht="17.25" customHeight="1" x14ac:dyDescent="0.2">
      <c r="E143" s="15"/>
      <c r="F143" s="15"/>
    </row>
    <row r="144" spans="5:6" ht="17.25" customHeight="1" x14ac:dyDescent="0.2">
      <c r="E144" s="15"/>
      <c r="F144" s="15"/>
    </row>
    <row r="145" spans="5:6" ht="17.25" customHeight="1" x14ac:dyDescent="0.2">
      <c r="E145" s="15"/>
      <c r="F145" s="15"/>
    </row>
    <row r="146" spans="5:6" ht="17.25" customHeight="1" x14ac:dyDescent="0.2">
      <c r="E146" s="15"/>
      <c r="F146" s="15"/>
    </row>
    <row r="147" spans="5:6" ht="17.25" customHeight="1" x14ac:dyDescent="0.2">
      <c r="E147" s="15"/>
      <c r="F147" s="15"/>
    </row>
    <row r="148" spans="5:6" ht="17.25" customHeight="1" x14ac:dyDescent="0.2">
      <c r="E148" s="15"/>
      <c r="F148" s="15"/>
    </row>
    <row r="149" spans="5:6" ht="17.25" customHeight="1" x14ac:dyDescent="0.2">
      <c r="E149" s="15"/>
      <c r="F149" s="15"/>
    </row>
    <row r="150" spans="5:6" ht="17.25" customHeight="1" x14ac:dyDescent="0.2">
      <c r="E150" s="15"/>
      <c r="F150" s="15"/>
    </row>
    <row r="151" spans="5:6" ht="17.25" customHeight="1" x14ac:dyDescent="0.2">
      <c r="E151" s="15"/>
      <c r="F151" s="15"/>
    </row>
    <row r="152" spans="5:6" ht="17.25" customHeight="1" x14ac:dyDescent="0.2">
      <c r="E152" s="15"/>
      <c r="F152" s="15"/>
    </row>
    <row r="153" spans="5:6" ht="17.25" customHeight="1" x14ac:dyDescent="0.2">
      <c r="E153" s="15"/>
      <c r="F153" s="15"/>
    </row>
    <row r="154" spans="5:6" ht="17.25" customHeight="1" x14ac:dyDescent="0.2">
      <c r="E154" s="15"/>
      <c r="F154" s="15"/>
    </row>
    <row r="155" spans="5:6" ht="17.25" customHeight="1" x14ac:dyDescent="0.2">
      <c r="E155" s="15"/>
      <c r="F155" s="15"/>
    </row>
    <row r="156" spans="5:6" ht="17.25" customHeight="1" x14ac:dyDescent="0.2">
      <c r="E156" s="15"/>
      <c r="F156" s="15"/>
    </row>
    <row r="157" spans="5:6" ht="17.25" customHeight="1" x14ac:dyDescent="0.2">
      <c r="E157" s="15"/>
      <c r="F157" s="15"/>
    </row>
    <row r="158" spans="5:6" ht="17.25" customHeight="1" x14ac:dyDescent="0.2">
      <c r="E158" s="15"/>
      <c r="F158" s="15"/>
    </row>
    <row r="159" spans="5:6" ht="17.25" customHeight="1" x14ac:dyDescent="0.2">
      <c r="E159" s="15"/>
      <c r="F159" s="15"/>
    </row>
    <row r="160" spans="5:6" ht="17.25" customHeight="1" x14ac:dyDescent="0.2">
      <c r="E160" s="15"/>
      <c r="F160" s="15"/>
    </row>
    <row r="161" spans="5:6" ht="17.25" customHeight="1" x14ac:dyDescent="0.2">
      <c r="E161" s="15"/>
      <c r="F161" s="15"/>
    </row>
    <row r="162" spans="5:6" ht="17.25" customHeight="1" x14ac:dyDescent="0.2">
      <c r="E162" s="15"/>
      <c r="F162" s="15"/>
    </row>
    <row r="163" spans="5:6" ht="17.25" customHeight="1" x14ac:dyDescent="0.2">
      <c r="E163" s="15"/>
      <c r="F163" s="15"/>
    </row>
    <row r="164" spans="5:6" ht="17.25" customHeight="1" x14ac:dyDescent="0.2">
      <c r="E164" s="15"/>
      <c r="F164" s="15"/>
    </row>
    <row r="165" spans="5:6" ht="17.25" customHeight="1" x14ac:dyDescent="0.2">
      <c r="E165" s="15"/>
      <c r="F165" s="15"/>
    </row>
    <row r="166" spans="5:6" ht="17.25" customHeight="1" x14ac:dyDescent="0.2">
      <c r="E166" s="15"/>
      <c r="F166" s="15"/>
    </row>
    <row r="167" spans="5:6" ht="17.25" customHeight="1" x14ac:dyDescent="0.2">
      <c r="E167" s="15"/>
      <c r="F167" s="15"/>
    </row>
    <row r="168" spans="5:6" ht="17.25" customHeight="1" x14ac:dyDescent="0.2">
      <c r="E168" s="15"/>
      <c r="F168" s="15"/>
    </row>
    <row r="169" spans="5:6" ht="17.25" customHeight="1" x14ac:dyDescent="0.2">
      <c r="E169" s="15"/>
      <c r="F169" s="15"/>
    </row>
    <row r="170" spans="5:6" ht="17.25" customHeight="1" x14ac:dyDescent="0.2">
      <c r="E170" s="15"/>
      <c r="F170" s="15"/>
    </row>
    <row r="171" spans="5:6" ht="17.25" customHeight="1" x14ac:dyDescent="0.2">
      <c r="E171" s="15"/>
      <c r="F171" s="15"/>
    </row>
    <row r="172" spans="5:6" ht="17.25" customHeight="1" x14ac:dyDescent="0.2">
      <c r="E172" s="15"/>
      <c r="F172" s="15"/>
    </row>
    <row r="173" spans="5:6" ht="17.25" customHeight="1" x14ac:dyDescent="0.2">
      <c r="E173" s="15"/>
      <c r="F173" s="15"/>
    </row>
    <row r="174" spans="5:6" ht="17.25" customHeight="1" x14ac:dyDescent="0.2">
      <c r="E174" s="15"/>
      <c r="F174" s="15"/>
    </row>
    <row r="175" spans="5:6" ht="17.25" customHeight="1" x14ac:dyDescent="0.2">
      <c r="E175" s="15"/>
      <c r="F175" s="15"/>
    </row>
    <row r="176" spans="5:6" ht="17.25" customHeight="1" x14ac:dyDescent="0.2">
      <c r="E176" s="15"/>
      <c r="F176" s="15"/>
    </row>
    <row r="177" spans="5:6" ht="17.25" customHeight="1" x14ac:dyDescent="0.2">
      <c r="E177" s="15"/>
      <c r="F177" s="15"/>
    </row>
    <row r="178" spans="5:6" ht="17.25" customHeight="1" x14ac:dyDescent="0.2">
      <c r="E178" s="15"/>
      <c r="F178" s="15"/>
    </row>
    <row r="179" spans="5:6" ht="17.25" customHeight="1" x14ac:dyDescent="0.2">
      <c r="E179" s="15"/>
      <c r="F179" s="15"/>
    </row>
    <row r="180" spans="5:6" ht="17.25" customHeight="1" x14ac:dyDescent="0.2">
      <c r="E180" s="15"/>
      <c r="F180" s="15"/>
    </row>
    <row r="181" spans="5:6" ht="17.25" customHeight="1" x14ac:dyDescent="0.2">
      <c r="E181" s="15"/>
      <c r="F181" s="15"/>
    </row>
    <row r="182" spans="5:6" ht="17.25" customHeight="1" x14ac:dyDescent="0.2">
      <c r="E182" s="15"/>
      <c r="F182" s="15"/>
    </row>
    <row r="183" spans="5:6" ht="17.25" customHeight="1" x14ac:dyDescent="0.2">
      <c r="E183" s="15"/>
      <c r="F183" s="15"/>
    </row>
    <row r="184" spans="5:6" ht="17.25" customHeight="1" x14ac:dyDescent="0.2">
      <c r="E184" s="15"/>
      <c r="F184" s="15"/>
    </row>
    <row r="185" spans="5:6" ht="17.25" customHeight="1" x14ac:dyDescent="0.2">
      <c r="E185" s="15"/>
      <c r="F185" s="15"/>
    </row>
    <row r="186" spans="5:6" ht="17.25" customHeight="1" x14ac:dyDescent="0.2">
      <c r="E186" s="15"/>
      <c r="F186" s="15"/>
    </row>
    <row r="187" spans="5:6" ht="17.25" customHeight="1" x14ac:dyDescent="0.2">
      <c r="E187" s="15"/>
      <c r="F187" s="15"/>
    </row>
    <row r="188" spans="5:6" ht="17.25" customHeight="1" x14ac:dyDescent="0.2">
      <c r="E188" s="15"/>
      <c r="F188" s="15"/>
    </row>
    <row r="189" spans="5:6" ht="17.25" customHeight="1" x14ac:dyDescent="0.2">
      <c r="E189" s="15"/>
      <c r="F189" s="15"/>
    </row>
    <row r="190" spans="5:6" ht="17.25" customHeight="1" x14ac:dyDescent="0.2">
      <c r="E190" s="15"/>
      <c r="F190" s="15"/>
    </row>
    <row r="191" spans="5:6" ht="17.25" customHeight="1" x14ac:dyDescent="0.2">
      <c r="E191" s="15"/>
      <c r="F191" s="15"/>
    </row>
    <row r="192" spans="5:6" ht="17.25" customHeight="1" x14ac:dyDescent="0.2">
      <c r="E192" s="15"/>
      <c r="F192" s="15"/>
    </row>
    <row r="193" spans="5:6" ht="17.25" customHeight="1" x14ac:dyDescent="0.2">
      <c r="E193" s="15"/>
      <c r="F193" s="15"/>
    </row>
    <row r="194" spans="5:6" ht="17.25" customHeight="1" x14ac:dyDescent="0.2">
      <c r="E194" s="15"/>
      <c r="F194" s="15"/>
    </row>
    <row r="195" spans="5:6" ht="17.25" customHeight="1" x14ac:dyDescent="0.2">
      <c r="E195" s="15"/>
      <c r="F195" s="15"/>
    </row>
    <row r="196" spans="5:6" ht="17.25" customHeight="1" x14ac:dyDescent="0.2">
      <c r="E196" s="15"/>
      <c r="F196" s="15"/>
    </row>
    <row r="197" spans="5:6" ht="17.25" customHeight="1" x14ac:dyDescent="0.2">
      <c r="E197" s="15"/>
      <c r="F197" s="15"/>
    </row>
    <row r="198" spans="5:6" ht="17.25" customHeight="1" x14ac:dyDescent="0.2">
      <c r="E198" s="15"/>
      <c r="F198" s="15"/>
    </row>
    <row r="199" spans="5:6" ht="17.25" customHeight="1" x14ac:dyDescent="0.2">
      <c r="E199" s="15"/>
      <c r="F199" s="15"/>
    </row>
    <row r="200" spans="5:6" ht="17.25" customHeight="1" x14ac:dyDescent="0.2">
      <c r="E200" s="15"/>
      <c r="F200" s="15"/>
    </row>
    <row r="201" spans="5:6" ht="17.25" customHeight="1" x14ac:dyDescent="0.2">
      <c r="E201" s="15"/>
      <c r="F201" s="15"/>
    </row>
    <row r="202" spans="5:6" ht="17.25" customHeight="1" x14ac:dyDescent="0.2">
      <c r="E202" s="15"/>
      <c r="F202" s="15"/>
    </row>
    <row r="203" spans="5:6" ht="17.25" customHeight="1" x14ac:dyDescent="0.2">
      <c r="E203" s="15"/>
      <c r="F203" s="15"/>
    </row>
    <row r="204" spans="5:6" ht="17.25" customHeight="1" x14ac:dyDescent="0.2">
      <c r="E204" s="15"/>
      <c r="F204" s="15"/>
    </row>
    <row r="205" spans="5:6" ht="17.25" customHeight="1" x14ac:dyDescent="0.2">
      <c r="E205" s="15"/>
      <c r="F205" s="15"/>
    </row>
    <row r="206" spans="5:6" ht="17.25" customHeight="1" x14ac:dyDescent="0.2">
      <c r="E206" s="15"/>
      <c r="F206" s="15"/>
    </row>
    <row r="207" spans="5:6" ht="17.25" customHeight="1" x14ac:dyDescent="0.2">
      <c r="E207" s="15"/>
      <c r="F207" s="15"/>
    </row>
    <row r="208" spans="5:6" ht="17.25" customHeight="1" x14ac:dyDescent="0.2">
      <c r="E208" s="15"/>
      <c r="F208" s="15"/>
    </row>
    <row r="209" spans="5:6" ht="17.25" customHeight="1" x14ac:dyDescent="0.2">
      <c r="E209" s="15"/>
      <c r="F209" s="15"/>
    </row>
    <row r="210" spans="5:6" ht="17.25" customHeight="1" x14ac:dyDescent="0.2">
      <c r="E210" s="15"/>
      <c r="F210" s="15"/>
    </row>
    <row r="211" spans="5:6" ht="17.25" customHeight="1" x14ac:dyDescent="0.2">
      <c r="E211" s="15"/>
      <c r="F211" s="15"/>
    </row>
    <row r="212" spans="5:6" ht="17.25" customHeight="1" x14ac:dyDescent="0.2">
      <c r="E212" s="15"/>
      <c r="F212" s="15"/>
    </row>
    <row r="213" spans="5:6" ht="17.25" customHeight="1" x14ac:dyDescent="0.2">
      <c r="E213" s="15"/>
      <c r="F213" s="15"/>
    </row>
    <row r="214" spans="5:6" ht="17.25" customHeight="1" x14ac:dyDescent="0.2">
      <c r="E214" s="15"/>
      <c r="F214" s="15"/>
    </row>
    <row r="215" spans="5:6" ht="17.25" customHeight="1" x14ac:dyDescent="0.2">
      <c r="E215" s="15"/>
      <c r="F215" s="15"/>
    </row>
    <row r="216" spans="5:6" ht="17.25" customHeight="1" x14ac:dyDescent="0.2">
      <c r="E216" s="15"/>
      <c r="F216" s="15"/>
    </row>
    <row r="217" spans="5:6" ht="17.25" customHeight="1" x14ac:dyDescent="0.2">
      <c r="E217" s="15"/>
      <c r="F217" s="15"/>
    </row>
    <row r="218" spans="5:6" ht="17.25" customHeight="1" x14ac:dyDescent="0.2">
      <c r="E218" s="15"/>
      <c r="F218" s="15"/>
    </row>
    <row r="219" spans="5:6" ht="17.25" customHeight="1" x14ac:dyDescent="0.2">
      <c r="E219" s="15"/>
      <c r="F219" s="15"/>
    </row>
    <row r="220" spans="5:6" ht="17.25" customHeight="1" x14ac:dyDescent="0.2">
      <c r="E220" s="15"/>
      <c r="F220" s="15"/>
    </row>
    <row r="221" spans="5:6" ht="17.25" customHeight="1" x14ac:dyDescent="0.2">
      <c r="E221" s="15"/>
      <c r="F221" s="15"/>
    </row>
    <row r="222" spans="5:6" ht="17.25" customHeight="1" x14ac:dyDescent="0.2">
      <c r="E222" s="15"/>
      <c r="F222" s="15"/>
    </row>
    <row r="223" spans="5:6" ht="17.25" customHeight="1" x14ac:dyDescent="0.2">
      <c r="E223" s="15"/>
      <c r="F223" s="15"/>
    </row>
    <row r="224" spans="5:6" ht="17.25" customHeight="1" x14ac:dyDescent="0.2">
      <c r="E224" s="15"/>
      <c r="F224" s="15"/>
    </row>
    <row r="225" spans="5:6" ht="17.25" customHeight="1" x14ac:dyDescent="0.2">
      <c r="E225" s="15"/>
      <c r="F225" s="15"/>
    </row>
    <row r="226" spans="5:6" ht="17.25" customHeight="1" x14ac:dyDescent="0.2">
      <c r="E226" s="15"/>
      <c r="F226" s="15"/>
    </row>
    <row r="227" spans="5:6" ht="17.25" customHeight="1" x14ac:dyDescent="0.2">
      <c r="E227" s="15"/>
      <c r="F227" s="15"/>
    </row>
    <row r="228" spans="5:6" ht="17.25" customHeight="1" x14ac:dyDescent="0.2">
      <c r="E228" s="15"/>
      <c r="F228" s="15"/>
    </row>
    <row r="229" spans="5:6" ht="17.25" customHeight="1" x14ac:dyDescent="0.2">
      <c r="E229" s="15"/>
      <c r="F229" s="15"/>
    </row>
    <row r="230" spans="5:6" ht="17.25" customHeight="1" x14ac:dyDescent="0.2">
      <c r="E230" s="15"/>
      <c r="F230" s="15"/>
    </row>
    <row r="231" spans="5:6" ht="17.25" customHeight="1" x14ac:dyDescent="0.2">
      <c r="E231" s="15"/>
      <c r="F231" s="15"/>
    </row>
    <row r="232" spans="5:6" ht="17.25" customHeight="1" x14ac:dyDescent="0.2">
      <c r="E232" s="15"/>
      <c r="F232" s="15"/>
    </row>
    <row r="233" spans="5:6" ht="17.25" customHeight="1" x14ac:dyDescent="0.2">
      <c r="E233" s="15"/>
      <c r="F233" s="15"/>
    </row>
    <row r="234" spans="5:6" ht="17.25" customHeight="1" x14ac:dyDescent="0.2">
      <c r="E234" s="15"/>
      <c r="F234" s="15"/>
    </row>
    <row r="235" spans="5:6" ht="17.25" customHeight="1" x14ac:dyDescent="0.2">
      <c r="E235" s="15"/>
      <c r="F235" s="15"/>
    </row>
    <row r="236" spans="5:6" ht="17.25" customHeight="1" x14ac:dyDescent="0.2">
      <c r="E236" s="15"/>
      <c r="F236" s="15"/>
    </row>
    <row r="237" spans="5:6" ht="17.25" customHeight="1" x14ac:dyDescent="0.2">
      <c r="E237" s="15"/>
      <c r="F237" s="15"/>
    </row>
    <row r="238" spans="5:6" ht="17.25" customHeight="1" x14ac:dyDescent="0.2">
      <c r="E238" s="15"/>
      <c r="F238" s="15"/>
    </row>
    <row r="239" spans="5:6" ht="17.25" customHeight="1" x14ac:dyDescent="0.2">
      <c r="E239" s="15"/>
      <c r="F239" s="15"/>
    </row>
    <row r="240" spans="5:6" ht="17.25" customHeight="1" x14ac:dyDescent="0.2">
      <c r="E240" s="15"/>
      <c r="F240" s="15"/>
    </row>
    <row r="241" spans="5:6" ht="17.25" customHeight="1" x14ac:dyDescent="0.2">
      <c r="E241" s="15"/>
      <c r="F241" s="15"/>
    </row>
    <row r="242" spans="5:6" ht="17.25" customHeight="1" x14ac:dyDescent="0.2">
      <c r="E242" s="15"/>
      <c r="F242" s="15"/>
    </row>
    <row r="243" spans="5:6" ht="17.25" customHeight="1" x14ac:dyDescent="0.2">
      <c r="E243" s="15"/>
      <c r="F243" s="15"/>
    </row>
    <row r="244" spans="5:6" ht="17.25" customHeight="1" x14ac:dyDescent="0.2">
      <c r="E244" s="15"/>
      <c r="F244" s="15"/>
    </row>
    <row r="245" spans="5:6" ht="17.25" customHeight="1" x14ac:dyDescent="0.2">
      <c r="E245" s="15"/>
      <c r="F245" s="15"/>
    </row>
    <row r="246" spans="5:6" ht="17.25" customHeight="1" x14ac:dyDescent="0.2">
      <c r="E246" s="15"/>
      <c r="F246" s="15"/>
    </row>
    <row r="247" spans="5:6" ht="17.25" customHeight="1" x14ac:dyDescent="0.2">
      <c r="E247" s="15"/>
      <c r="F247" s="15"/>
    </row>
    <row r="248" spans="5:6" ht="17.25" customHeight="1" x14ac:dyDescent="0.2">
      <c r="E248" s="15"/>
      <c r="F248" s="15"/>
    </row>
    <row r="249" spans="5:6" ht="17.25" customHeight="1" x14ac:dyDescent="0.2">
      <c r="E249" s="15"/>
      <c r="F249" s="15"/>
    </row>
    <row r="250" spans="5:6" ht="17.25" customHeight="1" x14ac:dyDescent="0.2">
      <c r="E250" s="15"/>
      <c r="F250" s="15"/>
    </row>
    <row r="251" spans="5:6" ht="17.25" customHeight="1" x14ac:dyDescent="0.2">
      <c r="E251" s="15"/>
      <c r="F251" s="15"/>
    </row>
    <row r="252" spans="5:6" ht="17.25" customHeight="1" x14ac:dyDescent="0.2">
      <c r="E252" s="15"/>
      <c r="F252" s="15"/>
    </row>
    <row r="253" spans="5:6" ht="17.25" customHeight="1" x14ac:dyDescent="0.2">
      <c r="E253" s="15"/>
      <c r="F253" s="15"/>
    </row>
    <row r="254" spans="5:6" ht="17.25" customHeight="1" x14ac:dyDescent="0.2">
      <c r="E254" s="15"/>
      <c r="F254" s="15"/>
    </row>
    <row r="255" spans="5:6" ht="17.25" customHeight="1" x14ac:dyDescent="0.2">
      <c r="E255" s="15"/>
      <c r="F255" s="15"/>
    </row>
    <row r="256" spans="5:6" ht="17.25" customHeight="1" x14ac:dyDescent="0.2">
      <c r="E256" s="15"/>
      <c r="F256" s="15"/>
    </row>
    <row r="257" spans="5:6" ht="17.25" customHeight="1" x14ac:dyDescent="0.2">
      <c r="E257" s="15"/>
      <c r="F257" s="15"/>
    </row>
    <row r="258" spans="5:6" ht="17.25" customHeight="1" x14ac:dyDescent="0.2">
      <c r="E258" s="15"/>
      <c r="F258" s="15"/>
    </row>
    <row r="259" spans="5:6" ht="17.25" customHeight="1" x14ac:dyDescent="0.2">
      <c r="E259" s="15"/>
      <c r="F259" s="15"/>
    </row>
    <row r="260" spans="5:6" ht="17.25" customHeight="1" x14ac:dyDescent="0.2">
      <c r="E260" s="15"/>
      <c r="F260" s="15"/>
    </row>
    <row r="261" spans="5:6" ht="17.25" customHeight="1" x14ac:dyDescent="0.2">
      <c r="E261" s="15"/>
      <c r="F261" s="15"/>
    </row>
    <row r="262" spans="5:6" ht="17.25" customHeight="1" x14ac:dyDescent="0.2">
      <c r="E262" s="15"/>
      <c r="F262" s="15"/>
    </row>
    <row r="263" spans="5:6" ht="17.25" customHeight="1" x14ac:dyDescent="0.2">
      <c r="E263" s="15"/>
      <c r="F263" s="15"/>
    </row>
    <row r="264" spans="5:6" ht="17.25" customHeight="1" x14ac:dyDescent="0.2">
      <c r="E264" s="15"/>
      <c r="F264" s="15"/>
    </row>
    <row r="265" spans="5:6" ht="17.25" customHeight="1" x14ac:dyDescent="0.2">
      <c r="E265" s="15"/>
      <c r="F265" s="15"/>
    </row>
    <row r="266" spans="5:6" ht="17.25" customHeight="1" x14ac:dyDescent="0.2">
      <c r="E266" s="15"/>
      <c r="F266" s="15"/>
    </row>
    <row r="267" spans="5:6" ht="17.25" customHeight="1" x14ac:dyDescent="0.2">
      <c r="E267" s="15"/>
      <c r="F267" s="15"/>
    </row>
    <row r="268" spans="5:6" ht="17.25" customHeight="1" x14ac:dyDescent="0.2">
      <c r="E268" s="15"/>
      <c r="F268" s="15"/>
    </row>
    <row r="269" spans="5:6" ht="17.25" customHeight="1" x14ac:dyDescent="0.2">
      <c r="E269" s="15"/>
      <c r="F269" s="15"/>
    </row>
    <row r="270" spans="5:6" ht="17.25" customHeight="1" x14ac:dyDescent="0.2">
      <c r="E270" s="15"/>
      <c r="F270" s="15"/>
    </row>
    <row r="271" spans="5:6" ht="17.25" customHeight="1" x14ac:dyDescent="0.2">
      <c r="E271" s="15"/>
      <c r="F271" s="15"/>
    </row>
    <row r="272" spans="5:6" ht="17.25" customHeight="1" x14ac:dyDescent="0.2">
      <c r="E272" s="15"/>
      <c r="F272" s="15"/>
    </row>
    <row r="273" spans="5:6" ht="17.25" customHeight="1" x14ac:dyDescent="0.2">
      <c r="E273" s="15"/>
      <c r="F273" s="15"/>
    </row>
    <row r="274" spans="5:6" ht="17.25" customHeight="1" x14ac:dyDescent="0.2">
      <c r="E274" s="15"/>
      <c r="F274" s="15"/>
    </row>
    <row r="275" spans="5:6" ht="17.25" customHeight="1" x14ac:dyDescent="0.2">
      <c r="E275" s="15"/>
      <c r="F275" s="15"/>
    </row>
    <row r="276" spans="5:6" ht="17.25" customHeight="1" x14ac:dyDescent="0.2">
      <c r="E276" s="15"/>
      <c r="F276" s="15"/>
    </row>
    <row r="277" spans="5:6" ht="17.25" customHeight="1" x14ac:dyDescent="0.2">
      <c r="E277" s="15"/>
      <c r="F277" s="15"/>
    </row>
    <row r="278" spans="5:6" ht="17.25" customHeight="1" x14ac:dyDescent="0.2">
      <c r="E278" s="15"/>
      <c r="F278" s="15"/>
    </row>
    <row r="279" spans="5:6" ht="17.25" customHeight="1" x14ac:dyDescent="0.2">
      <c r="E279" s="15"/>
      <c r="F279" s="15"/>
    </row>
    <row r="280" spans="5:6" ht="17.25" customHeight="1" x14ac:dyDescent="0.2">
      <c r="E280" s="15"/>
      <c r="F280" s="15"/>
    </row>
    <row r="281" spans="5:6" ht="17.25" customHeight="1" x14ac:dyDescent="0.2">
      <c r="E281" s="15"/>
      <c r="F281" s="15"/>
    </row>
    <row r="282" spans="5:6" ht="17.25" customHeight="1" x14ac:dyDescent="0.2">
      <c r="E282" s="15"/>
      <c r="F282" s="15"/>
    </row>
    <row r="283" spans="5:6" ht="17.25" customHeight="1" x14ac:dyDescent="0.2">
      <c r="E283" s="15"/>
      <c r="F283" s="15"/>
    </row>
    <row r="284" spans="5:6" ht="17.25" customHeight="1" x14ac:dyDescent="0.2">
      <c r="E284" s="15"/>
      <c r="F284" s="15"/>
    </row>
    <row r="285" spans="5:6" ht="17.25" customHeight="1" x14ac:dyDescent="0.2">
      <c r="E285" s="15"/>
      <c r="F285" s="15"/>
    </row>
    <row r="286" spans="5:6" ht="17.25" customHeight="1" x14ac:dyDescent="0.2">
      <c r="E286" s="15"/>
      <c r="F286" s="15"/>
    </row>
    <row r="287" spans="5:6" ht="17.25" customHeight="1" x14ac:dyDescent="0.2">
      <c r="E287" s="15"/>
      <c r="F287" s="15"/>
    </row>
    <row r="288" spans="5:6" ht="17.25" customHeight="1" x14ac:dyDescent="0.2">
      <c r="E288" s="15"/>
      <c r="F288" s="15"/>
    </row>
    <row r="289" spans="5:6" ht="17.25" customHeight="1" x14ac:dyDescent="0.2">
      <c r="E289" s="15"/>
      <c r="F289" s="15"/>
    </row>
    <row r="290" spans="5:6" ht="17.25" customHeight="1" x14ac:dyDescent="0.2">
      <c r="E290" s="15"/>
      <c r="F290" s="15"/>
    </row>
    <row r="291" spans="5:6" ht="17.25" customHeight="1" x14ac:dyDescent="0.2">
      <c r="E291" s="15"/>
      <c r="F291" s="15"/>
    </row>
    <row r="292" spans="5:6" ht="17.25" customHeight="1" x14ac:dyDescent="0.2">
      <c r="E292" s="15"/>
      <c r="F292" s="15"/>
    </row>
    <row r="293" spans="5:6" ht="17.25" customHeight="1" x14ac:dyDescent="0.2">
      <c r="E293" s="15"/>
      <c r="F293" s="15"/>
    </row>
    <row r="294" spans="5:6" ht="17.25" customHeight="1" x14ac:dyDescent="0.2">
      <c r="E294" s="15"/>
      <c r="F294" s="15"/>
    </row>
    <row r="295" spans="5:6" ht="17.25" customHeight="1" x14ac:dyDescent="0.2">
      <c r="E295" s="15"/>
      <c r="F295" s="15"/>
    </row>
    <row r="296" spans="5:6" ht="17.25" customHeight="1" x14ac:dyDescent="0.2">
      <c r="E296" s="15"/>
      <c r="F296" s="15"/>
    </row>
    <row r="297" spans="5:6" ht="17.25" customHeight="1" x14ac:dyDescent="0.2">
      <c r="E297" s="15"/>
      <c r="F297" s="15"/>
    </row>
    <row r="298" spans="5:6" ht="17.25" customHeight="1" x14ac:dyDescent="0.2">
      <c r="E298" s="15"/>
      <c r="F298" s="15"/>
    </row>
    <row r="299" spans="5:6" ht="17.25" customHeight="1" x14ac:dyDescent="0.2">
      <c r="E299" s="15"/>
      <c r="F299" s="15"/>
    </row>
    <row r="300" spans="5:6" ht="17.25" customHeight="1" x14ac:dyDescent="0.2">
      <c r="E300" s="15"/>
      <c r="F300" s="15"/>
    </row>
    <row r="301" spans="5:6" ht="17.25" customHeight="1" x14ac:dyDescent="0.2">
      <c r="E301" s="15"/>
      <c r="F301" s="15"/>
    </row>
    <row r="302" spans="5:6" ht="17.25" customHeight="1" x14ac:dyDescent="0.2">
      <c r="E302" s="15"/>
      <c r="F302" s="15"/>
    </row>
    <row r="303" spans="5:6" ht="17.25" customHeight="1" x14ac:dyDescent="0.2">
      <c r="E303" s="15"/>
      <c r="F303" s="15"/>
    </row>
    <row r="304" spans="5:6" ht="17.25" customHeight="1" x14ac:dyDescent="0.2">
      <c r="E304" s="15"/>
      <c r="F304" s="15"/>
    </row>
    <row r="305" spans="5:6" ht="17.25" customHeight="1" x14ac:dyDescent="0.2">
      <c r="E305" s="15"/>
      <c r="F305" s="15"/>
    </row>
    <row r="306" spans="5:6" ht="17.25" customHeight="1" x14ac:dyDescent="0.2">
      <c r="E306" s="15"/>
      <c r="F306" s="15"/>
    </row>
    <row r="307" spans="5:6" ht="17.25" customHeight="1" x14ac:dyDescent="0.2">
      <c r="E307" s="15"/>
      <c r="F307" s="15"/>
    </row>
    <row r="308" spans="5:6" ht="17.25" customHeight="1" x14ac:dyDescent="0.2">
      <c r="E308" s="15"/>
      <c r="F308" s="15"/>
    </row>
    <row r="309" spans="5:6" ht="17.25" customHeight="1" x14ac:dyDescent="0.2">
      <c r="E309" s="15"/>
      <c r="F309" s="15"/>
    </row>
    <row r="310" spans="5:6" ht="17.25" customHeight="1" x14ac:dyDescent="0.2">
      <c r="E310" s="15"/>
      <c r="F310" s="15"/>
    </row>
    <row r="311" spans="5:6" ht="17.25" customHeight="1" x14ac:dyDescent="0.2">
      <c r="E311" s="15"/>
      <c r="F311" s="15"/>
    </row>
    <row r="312" spans="5:6" ht="17.25" customHeight="1" x14ac:dyDescent="0.2">
      <c r="E312" s="15"/>
      <c r="F312" s="15"/>
    </row>
    <row r="313" spans="5:6" ht="17.25" customHeight="1" x14ac:dyDescent="0.2">
      <c r="E313" s="15"/>
      <c r="F313" s="15"/>
    </row>
    <row r="314" spans="5:6" ht="17.25" customHeight="1" x14ac:dyDescent="0.2">
      <c r="E314" s="15"/>
      <c r="F314" s="15"/>
    </row>
    <row r="315" spans="5:6" ht="17.25" customHeight="1" x14ac:dyDescent="0.2">
      <c r="E315" s="15"/>
      <c r="F315" s="15"/>
    </row>
    <row r="316" spans="5:6" ht="17.25" customHeight="1" x14ac:dyDescent="0.2">
      <c r="E316" s="15"/>
      <c r="F316" s="15"/>
    </row>
    <row r="317" spans="5:6" ht="17.25" customHeight="1" x14ac:dyDescent="0.2">
      <c r="E317" s="15"/>
      <c r="F317" s="15"/>
    </row>
    <row r="318" spans="5:6" ht="17.25" customHeight="1" x14ac:dyDescent="0.2">
      <c r="E318" s="15"/>
      <c r="F318" s="15"/>
    </row>
    <row r="319" spans="5:6" ht="17.25" customHeight="1" x14ac:dyDescent="0.2">
      <c r="E319" s="15"/>
      <c r="F319" s="15"/>
    </row>
    <row r="320" spans="5:6" ht="17.25" customHeight="1" x14ac:dyDescent="0.2">
      <c r="E320" s="15"/>
      <c r="F320" s="15"/>
    </row>
    <row r="321" spans="5:6" ht="17.25" customHeight="1" x14ac:dyDescent="0.2">
      <c r="E321" s="15"/>
      <c r="F321" s="15"/>
    </row>
    <row r="322" spans="5:6" ht="17.25" customHeight="1" x14ac:dyDescent="0.2">
      <c r="E322" s="15"/>
      <c r="F322" s="15"/>
    </row>
    <row r="323" spans="5:6" ht="17.25" customHeight="1" x14ac:dyDescent="0.2">
      <c r="E323" s="15"/>
      <c r="F323" s="15"/>
    </row>
    <row r="324" spans="5:6" ht="17.25" customHeight="1" x14ac:dyDescent="0.2">
      <c r="E324" s="15"/>
      <c r="F324" s="15"/>
    </row>
    <row r="325" spans="5:6" ht="17.25" customHeight="1" x14ac:dyDescent="0.2">
      <c r="E325" s="15"/>
      <c r="F325" s="15"/>
    </row>
    <row r="326" spans="5:6" ht="17.25" customHeight="1" x14ac:dyDescent="0.2">
      <c r="E326" s="15"/>
      <c r="F326" s="15"/>
    </row>
    <row r="327" spans="5:6" ht="17.25" customHeight="1" x14ac:dyDescent="0.2">
      <c r="E327" s="15"/>
      <c r="F327" s="15"/>
    </row>
    <row r="328" spans="5:6" ht="17.25" customHeight="1" x14ac:dyDescent="0.2">
      <c r="E328" s="15"/>
      <c r="F328" s="15"/>
    </row>
    <row r="329" spans="5:6" ht="17.25" customHeight="1" x14ac:dyDescent="0.2">
      <c r="E329" s="15"/>
      <c r="F329" s="15"/>
    </row>
    <row r="330" spans="5:6" ht="17.25" customHeight="1" x14ac:dyDescent="0.2">
      <c r="E330" s="15"/>
      <c r="F330" s="15"/>
    </row>
    <row r="331" spans="5:6" ht="17.25" customHeight="1" x14ac:dyDescent="0.2">
      <c r="E331" s="15"/>
      <c r="F331" s="15"/>
    </row>
    <row r="332" spans="5:6" ht="17.25" customHeight="1" x14ac:dyDescent="0.2">
      <c r="E332" s="15"/>
      <c r="F332" s="15"/>
    </row>
    <row r="333" spans="5:6" ht="17.25" customHeight="1" x14ac:dyDescent="0.2">
      <c r="E333" s="15"/>
      <c r="F333" s="15"/>
    </row>
    <row r="334" spans="5:6" ht="17.25" customHeight="1" x14ac:dyDescent="0.2">
      <c r="E334" s="15"/>
      <c r="F334" s="15"/>
    </row>
    <row r="335" spans="5:6" ht="17.25" customHeight="1" x14ac:dyDescent="0.2">
      <c r="E335" s="15"/>
      <c r="F335" s="15"/>
    </row>
    <row r="336" spans="5:6" ht="17.25" customHeight="1" x14ac:dyDescent="0.2">
      <c r="E336" s="15"/>
      <c r="F336" s="15"/>
    </row>
    <row r="337" spans="5:6" ht="17.25" customHeight="1" x14ac:dyDescent="0.2">
      <c r="E337" s="15"/>
      <c r="F337" s="15"/>
    </row>
    <row r="338" spans="5:6" ht="17.25" customHeight="1" x14ac:dyDescent="0.2">
      <c r="E338" s="15"/>
      <c r="F338" s="15"/>
    </row>
    <row r="339" spans="5:6" ht="17.25" customHeight="1" x14ac:dyDescent="0.2">
      <c r="E339" s="15"/>
      <c r="F339" s="15"/>
    </row>
    <row r="340" spans="5:6" ht="17.25" customHeight="1" x14ac:dyDescent="0.2">
      <c r="E340" s="15"/>
      <c r="F340" s="15"/>
    </row>
    <row r="341" spans="5:6" ht="17.25" customHeight="1" x14ac:dyDescent="0.2">
      <c r="E341" s="15"/>
      <c r="F341" s="15"/>
    </row>
    <row r="342" spans="5:6" ht="17.25" customHeight="1" x14ac:dyDescent="0.2">
      <c r="E342" s="15"/>
      <c r="F342" s="15"/>
    </row>
    <row r="343" spans="5:6" ht="17.25" customHeight="1" x14ac:dyDescent="0.2">
      <c r="E343" s="15"/>
      <c r="F343" s="15"/>
    </row>
    <row r="344" spans="5:6" ht="17.25" customHeight="1" x14ac:dyDescent="0.2">
      <c r="E344" s="15"/>
      <c r="F344" s="15"/>
    </row>
    <row r="345" spans="5:6" ht="17.25" customHeight="1" x14ac:dyDescent="0.2">
      <c r="E345" s="15"/>
      <c r="F345" s="15"/>
    </row>
    <row r="346" spans="5:6" ht="17.25" customHeight="1" x14ac:dyDescent="0.2">
      <c r="E346" s="15"/>
      <c r="F346" s="15"/>
    </row>
    <row r="347" spans="5:6" ht="17.25" customHeight="1" x14ac:dyDescent="0.2">
      <c r="E347" s="15"/>
      <c r="F347" s="15"/>
    </row>
    <row r="348" spans="5:6" ht="17.25" customHeight="1" x14ac:dyDescent="0.2">
      <c r="E348" s="15"/>
      <c r="F348" s="15"/>
    </row>
    <row r="349" spans="5:6" ht="17.25" customHeight="1" x14ac:dyDescent="0.2">
      <c r="E349" s="15"/>
      <c r="F349" s="15"/>
    </row>
    <row r="350" spans="5:6" ht="17.25" customHeight="1" x14ac:dyDescent="0.2">
      <c r="E350" s="15"/>
      <c r="F350" s="15"/>
    </row>
    <row r="351" spans="5:6" ht="17.25" customHeight="1" x14ac:dyDescent="0.2">
      <c r="E351" s="15"/>
      <c r="F351" s="15"/>
    </row>
    <row r="352" spans="5:6" ht="17.25" customHeight="1" x14ac:dyDescent="0.2">
      <c r="E352" s="15"/>
      <c r="F352" s="15"/>
    </row>
    <row r="353" spans="5:6" ht="17.25" customHeight="1" x14ac:dyDescent="0.2">
      <c r="E353" s="15"/>
      <c r="F353" s="15"/>
    </row>
    <row r="354" spans="5:6" ht="17.25" customHeight="1" x14ac:dyDescent="0.2">
      <c r="E354" s="15"/>
      <c r="F354" s="15"/>
    </row>
    <row r="355" spans="5:6" ht="17.25" customHeight="1" x14ac:dyDescent="0.2">
      <c r="E355" s="15"/>
      <c r="F355" s="15"/>
    </row>
    <row r="356" spans="5:6" ht="17.25" customHeight="1" x14ac:dyDescent="0.2">
      <c r="E356" s="15"/>
      <c r="F356" s="15"/>
    </row>
    <row r="357" spans="5:6" ht="17.25" customHeight="1" x14ac:dyDescent="0.2">
      <c r="E357" s="15"/>
      <c r="F357" s="15"/>
    </row>
    <row r="358" spans="5:6" ht="17.25" customHeight="1" x14ac:dyDescent="0.2">
      <c r="E358" s="15"/>
      <c r="F358" s="15"/>
    </row>
    <row r="359" spans="5:6" ht="17.25" customHeight="1" x14ac:dyDescent="0.2">
      <c r="E359" s="15"/>
      <c r="F359" s="15"/>
    </row>
    <row r="360" spans="5:6" ht="17.25" customHeight="1" x14ac:dyDescent="0.2">
      <c r="E360" s="15"/>
      <c r="F360" s="15"/>
    </row>
    <row r="361" spans="5:6" ht="17.25" customHeight="1" x14ac:dyDescent="0.2">
      <c r="E361" s="15"/>
      <c r="F361" s="15"/>
    </row>
    <row r="362" spans="5:6" ht="17.25" customHeight="1" x14ac:dyDescent="0.2">
      <c r="E362" s="15"/>
      <c r="F362" s="15"/>
    </row>
    <row r="363" spans="5:6" ht="17.25" customHeight="1" x14ac:dyDescent="0.2">
      <c r="E363" s="15"/>
      <c r="F363" s="15"/>
    </row>
    <row r="364" spans="5:6" ht="17.25" customHeight="1" x14ac:dyDescent="0.2">
      <c r="E364" s="15"/>
      <c r="F364" s="15"/>
    </row>
    <row r="365" spans="5:6" ht="17.25" customHeight="1" x14ac:dyDescent="0.2">
      <c r="E365" s="15"/>
      <c r="F365" s="15"/>
    </row>
    <row r="366" spans="5:6" ht="17.25" customHeight="1" x14ac:dyDescent="0.2">
      <c r="E366" s="15"/>
      <c r="F366" s="15"/>
    </row>
    <row r="367" spans="5:6" ht="17.25" customHeight="1" x14ac:dyDescent="0.2">
      <c r="E367" s="15"/>
      <c r="F367" s="15"/>
    </row>
    <row r="368" spans="5:6" ht="17.25" customHeight="1" x14ac:dyDescent="0.2">
      <c r="E368" s="15"/>
      <c r="F368" s="15"/>
    </row>
    <row r="369" spans="5:6" ht="17.25" customHeight="1" x14ac:dyDescent="0.2">
      <c r="E369" s="15"/>
      <c r="F369" s="15"/>
    </row>
    <row r="370" spans="5:6" ht="17.25" customHeight="1" x14ac:dyDescent="0.2">
      <c r="E370" s="15"/>
      <c r="F370" s="15"/>
    </row>
    <row r="371" spans="5:6" ht="17.25" customHeight="1" x14ac:dyDescent="0.2">
      <c r="E371" s="15"/>
      <c r="F371" s="15"/>
    </row>
    <row r="372" spans="5:6" ht="17.25" customHeight="1" x14ac:dyDescent="0.2">
      <c r="E372" s="15"/>
      <c r="F372" s="15"/>
    </row>
    <row r="373" spans="5:6" ht="17.25" customHeight="1" x14ac:dyDescent="0.2">
      <c r="E373" s="15"/>
      <c r="F373" s="15"/>
    </row>
    <row r="374" spans="5:6" ht="17.25" customHeight="1" x14ac:dyDescent="0.2">
      <c r="E374" s="15"/>
      <c r="F374" s="15"/>
    </row>
    <row r="375" spans="5:6" ht="17.25" customHeight="1" x14ac:dyDescent="0.2">
      <c r="E375" s="15"/>
      <c r="F375" s="15"/>
    </row>
    <row r="376" spans="5:6" ht="17.25" customHeight="1" x14ac:dyDescent="0.2">
      <c r="E376" s="15"/>
      <c r="F376" s="15"/>
    </row>
    <row r="377" spans="5:6" ht="17.25" customHeight="1" x14ac:dyDescent="0.2">
      <c r="E377" s="15"/>
      <c r="F377" s="15"/>
    </row>
    <row r="378" spans="5:6" ht="17.25" customHeight="1" x14ac:dyDescent="0.2">
      <c r="E378" s="15"/>
      <c r="F378" s="15"/>
    </row>
    <row r="379" spans="5:6" ht="17.25" customHeight="1" x14ac:dyDescent="0.2">
      <c r="E379" s="15"/>
      <c r="F379" s="15"/>
    </row>
    <row r="380" spans="5:6" ht="17.25" customHeight="1" x14ac:dyDescent="0.2">
      <c r="E380" s="15"/>
      <c r="F380" s="15"/>
    </row>
    <row r="381" spans="5:6" ht="17.25" customHeight="1" x14ac:dyDescent="0.2">
      <c r="E381" s="15"/>
      <c r="F381" s="15"/>
    </row>
    <row r="382" spans="5:6" ht="17.25" customHeight="1" x14ac:dyDescent="0.2">
      <c r="E382" s="15"/>
      <c r="F382" s="15"/>
    </row>
    <row r="383" spans="5:6" ht="17.25" customHeight="1" x14ac:dyDescent="0.2">
      <c r="E383" s="15"/>
      <c r="F383" s="15"/>
    </row>
    <row r="384" spans="5:6" ht="17.25" customHeight="1" x14ac:dyDescent="0.2">
      <c r="E384" s="15"/>
      <c r="F384" s="15"/>
    </row>
    <row r="385" spans="5:6" ht="17.25" customHeight="1" x14ac:dyDescent="0.2">
      <c r="E385" s="15"/>
      <c r="F385" s="15"/>
    </row>
    <row r="386" spans="5:6" ht="17.25" customHeight="1" x14ac:dyDescent="0.2">
      <c r="E386" s="15"/>
      <c r="F386" s="15"/>
    </row>
    <row r="387" spans="5:6" ht="17.25" customHeight="1" x14ac:dyDescent="0.2">
      <c r="E387" s="15"/>
      <c r="F387" s="15"/>
    </row>
    <row r="388" spans="5:6" ht="17.25" customHeight="1" x14ac:dyDescent="0.2">
      <c r="E388" s="15"/>
      <c r="F388" s="15"/>
    </row>
    <row r="389" spans="5:6" ht="17.25" customHeight="1" x14ac:dyDescent="0.2">
      <c r="E389" s="15"/>
      <c r="F389" s="15"/>
    </row>
    <row r="390" spans="5:6" ht="17.25" customHeight="1" x14ac:dyDescent="0.2">
      <c r="E390" s="15"/>
      <c r="F390" s="15"/>
    </row>
    <row r="391" spans="5:6" ht="17.25" customHeight="1" x14ac:dyDescent="0.2">
      <c r="E391" s="15"/>
      <c r="F391" s="15"/>
    </row>
    <row r="392" spans="5:6" ht="17.25" customHeight="1" x14ac:dyDescent="0.2">
      <c r="E392" s="15"/>
      <c r="F392" s="15"/>
    </row>
    <row r="393" spans="5:6" ht="17.25" customHeight="1" x14ac:dyDescent="0.2">
      <c r="E393" s="15"/>
      <c r="F393" s="15"/>
    </row>
    <row r="394" spans="5:6" ht="17.25" customHeight="1" x14ac:dyDescent="0.2">
      <c r="E394" s="15"/>
      <c r="F394" s="15"/>
    </row>
    <row r="395" spans="5:6" ht="17.25" customHeight="1" x14ac:dyDescent="0.2">
      <c r="E395" s="15"/>
      <c r="F395" s="15"/>
    </row>
    <row r="396" spans="5:6" ht="17.25" customHeight="1" x14ac:dyDescent="0.2">
      <c r="E396" s="15"/>
      <c r="F396" s="15"/>
    </row>
    <row r="397" spans="5:6" ht="17.25" customHeight="1" x14ac:dyDescent="0.2">
      <c r="E397" s="15"/>
      <c r="F397" s="15"/>
    </row>
    <row r="398" spans="5:6" ht="17.25" customHeight="1" x14ac:dyDescent="0.2">
      <c r="E398" s="15"/>
      <c r="F398" s="15"/>
    </row>
    <row r="399" spans="5:6" ht="17.25" customHeight="1" x14ac:dyDescent="0.2">
      <c r="E399" s="15"/>
      <c r="F399" s="15"/>
    </row>
    <row r="400" spans="5:6" ht="17.25" customHeight="1" x14ac:dyDescent="0.2">
      <c r="E400" s="15"/>
      <c r="F400" s="15"/>
    </row>
    <row r="401" spans="5:6" ht="17.25" customHeight="1" x14ac:dyDescent="0.2">
      <c r="E401" s="15"/>
      <c r="F401" s="15"/>
    </row>
    <row r="402" spans="5:6" ht="17.25" customHeight="1" x14ac:dyDescent="0.2">
      <c r="E402" s="15"/>
      <c r="F402" s="15"/>
    </row>
    <row r="403" spans="5:6" ht="17.25" customHeight="1" x14ac:dyDescent="0.2">
      <c r="E403" s="15"/>
      <c r="F403" s="15"/>
    </row>
    <row r="404" spans="5:6" ht="17.25" customHeight="1" x14ac:dyDescent="0.2">
      <c r="E404" s="15"/>
      <c r="F404" s="15"/>
    </row>
    <row r="405" spans="5:6" ht="17.25" customHeight="1" x14ac:dyDescent="0.2">
      <c r="E405" s="15"/>
      <c r="F405" s="15"/>
    </row>
    <row r="406" spans="5:6" ht="17.25" customHeight="1" x14ac:dyDescent="0.2">
      <c r="E406" s="15"/>
      <c r="F406" s="15"/>
    </row>
    <row r="407" spans="5:6" ht="17.25" customHeight="1" x14ac:dyDescent="0.2">
      <c r="E407" s="15"/>
      <c r="F407" s="15"/>
    </row>
    <row r="408" spans="5:6" ht="17.25" customHeight="1" x14ac:dyDescent="0.2">
      <c r="E408" s="15"/>
      <c r="F408" s="15"/>
    </row>
    <row r="409" spans="5:6" ht="17.25" customHeight="1" x14ac:dyDescent="0.2">
      <c r="E409" s="15"/>
      <c r="F409" s="15"/>
    </row>
    <row r="410" spans="5:6" ht="17.25" customHeight="1" x14ac:dyDescent="0.2">
      <c r="E410" s="15"/>
      <c r="F410" s="15"/>
    </row>
    <row r="411" spans="5:6" ht="17.25" customHeight="1" x14ac:dyDescent="0.2">
      <c r="E411" s="15"/>
      <c r="F411" s="15"/>
    </row>
    <row r="412" spans="5:6" ht="17.25" customHeight="1" x14ac:dyDescent="0.2">
      <c r="E412" s="15"/>
      <c r="F412" s="15"/>
    </row>
    <row r="413" spans="5:6" ht="17.25" customHeight="1" x14ac:dyDescent="0.2">
      <c r="E413" s="15"/>
      <c r="F413" s="15"/>
    </row>
    <row r="414" spans="5:6" ht="17.25" customHeight="1" x14ac:dyDescent="0.2">
      <c r="E414" s="15"/>
      <c r="F414" s="15"/>
    </row>
    <row r="415" spans="5:6" ht="17.25" customHeight="1" x14ac:dyDescent="0.2">
      <c r="E415" s="15"/>
      <c r="F415" s="15"/>
    </row>
    <row r="416" spans="5:6" ht="17.25" customHeight="1" x14ac:dyDescent="0.2">
      <c r="E416" s="15"/>
      <c r="F416" s="15"/>
    </row>
    <row r="417" spans="5:6" ht="17.25" customHeight="1" x14ac:dyDescent="0.2">
      <c r="E417" s="15"/>
      <c r="F417" s="15"/>
    </row>
    <row r="418" spans="5:6" ht="17.25" customHeight="1" x14ac:dyDescent="0.2">
      <c r="E418" s="15"/>
      <c r="F418" s="15"/>
    </row>
    <row r="419" spans="5:6" ht="17.25" customHeight="1" x14ac:dyDescent="0.2">
      <c r="E419" s="15"/>
      <c r="F419" s="15"/>
    </row>
    <row r="420" spans="5:6" ht="17.25" customHeight="1" x14ac:dyDescent="0.2">
      <c r="E420" s="15"/>
      <c r="F420" s="15"/>
    </row>
    <row r="421" spans="5:6" ht="17.25" customHeight="1" x14ac:dyDescent="0.2">
      <c r="E421" s="15"/>
      <c r="F421" s="15"/>
    </row>
    <row r="422" spans="5:6" ht="17.25" customHeight="1" x14ac:dyDescent="0.2">
      <c r="E422" s="15"/>
      <c r="F422" s="15"/>
    </row>
    <row r="423" spans="5:6" ht="17.25" customHeight="1" x14ac:dyDescent="0.2">
      <c r="E423" s="15"/>
      <c r="F423" s="15"/>
    </row>
    <row r="424" spans="5:6" ht="17.25" customHeight="1" x14ac:dyDescent="0.2">
      <c r="E424" s="15"/>
      <c r="F424" s="15"/>
    </row>
    <row r="425" spans="5:6" ht="17.25" customHeight="1" x14ac:dyDescent="0.2">
      <c r="E425" s="15"/>
      <c r="F425" s="15"/>
    </row>
    <row r="426" spans="5:6" ht="17.25" customHeight="1" x14ac:dyDescent="0.2">
      <c r="E426" s="15"/>
      <c r="F426" s="15"/>
    </row>
    <row r="427" spans="5:6" ht="17.25" customHeight="1" x14ac:dyDescent="0.2">
      <c r="E427" s="15"/>
      <c r="F427" s="15"/>
    </row>
    <row r="428" spans="5:6" ht="17.25" customHeight="1" x14ac:dyDescent="0.2">
      <c r="E428" s="15"/>
      <c r="F428" s="15"/>
    </row>
    <row r="429" spans="5:6" ht="17.25" customHeight="1" x14ac:dyDescent="0.2">
      <c r="E429" s="15"/>
      <c r="F429" s="15"/>
    </row>
    <row r="430" spans="5:6" ht="17.25" customHeight="1" x14ac:dyDescent="0.2">
      <c r="E430" s="15"/>
      <c r="F430" s="15"/>
    </row>
    <row r="431" spans="5:6" ht="17.25" customHeight="1" x14ac:dyDescent="0.2">
      <c r="E431" s="15"/>
      <c r="F431" s="15"/>
    </row>
    <row r="432" spans="5:6" ht="17.25" customHeight="1" x14ac:dyDescent="0.2">
      <c r="E432" s="15"/>
      <c r="F432" s="15"/>
    </row>
    <row r="433" spans="5:6" ht="17.25" customHeight="1" x14ac:dyDescent="0.2">
      <c r="E433" s="15"/>
      <c r="F433" s="15"/>
    </row>
    <row r="434" spans="5:6" ht="17.25" customHeight="1" x14ac:dyDescent="0.2">
      <c r="E434" s="15"/>
      <c r="F434" s="15"/>
    </row>
    <row r="435" spans="5:6" ht="17.25" customHeight="1" x14ac:dyDescent="0.2">
      <c r="E435" s="15"/>
      <c r="F435" s="15"/>
    </row>
    <row r="436" spans="5:6" ht="17.25" customHeight="1" x14ac:dyDescent="0.2">
      <c r="E436" s="15"/>
      <c r="F436" s="15"/>
    </row>
    <row r="437" spans="5:6" ht="17.25" customHeight="1" x14ac:dyDescent="0.2">
      <c r="E437" s="15"/>
      <c r="F437" s="15"/>
    </row>
    <row r="438" spans="5:6" ht="17.25" customHeight="1" x14ac:dyDescent="0.2">
      <c r="E438" s="15"/>
      <c r="F438" s="15"/>
    </row>
    <row r="439" spans="5:6" ht="17.25" customHeight="1" x14ac:dyDescent="0.2">
      <c r="E439" s="15"/>
      <c r="F439" s="15"/>
    </row>
    <row r="440" spans="5:6" ht="17.25" customHeight="1" x14ac:dyDescent="0.2">
      <c r="E440" s="15"/>
      <c r="F440" s="15"/>
    </row>
    <row r="441" spans="5:6" ht="17.25" customHeight="1" x14ac:dyDescent="0.2">
      <c r="E441" s="15"/>
      <c r="F441" s="15"/>
    </row>
    <row r="442" spans="5:6" ht="17.25" customHeight="1" x14ac:dyDescent="0.2">
      <c r="E442" s="15"/>
      <c r="F442" s="15"/>
    </row>
    <row r="443" spans="5:6" ht="17.25" customHeight="1" x14ac:dyDescent="0.2">
      <c r="E443" s="15"/>
      <c r="F443" s="15"/>
    </row>
    <row r="444" spans="5:6" ht="17.25" customHeight="1" x14ac:dyDescent="0.2">
      <c r="E444" s="15"/>
      <c r="F444" s="15"/>
    </row>
    <row r="445" spans="5:6" ht="17.25" customHeight="1" x14ac:dyDescent="0.2">
      <c r="E445" s="15"/>
      <c r="F445" s="15"/>
    </row>
    <row r="446" spans="5:6" ht="17.25" customHeight="1" x14ac:dyDescent="0.2">
      <c r="E446" s="15"/>
      <c r="F446" s="15"/>
    </row>
    <row r="447" spans="5:6" ht="17.25" customHeight="1" x14ac:dyDescent="0.2">
      <c r="E447" s="15"/>
      <c r="F447" s="15"/>
    </row>
    <row r="448" spans="5:6" ht="17.25" customHeight="1" x14ac:dyDescent="0.2">
      <c r="E448" s="15"/>
      <c r="F448" s="15"/>
    </row>
    <row r="449" spans="5:6" ht="17.25" customHeight="1" x14ac:dyDescent="0.2">
      <c r="E449" s="15"/>
      <c r="F449" s="15"/>
    </row>
    <row r="450" spans="5:6" ht="17.25" customHeight="1" x14ac:dyDescent="0.2">
      <c r="E450" s="15"/>
      <c r="F450" s="15"/>
    </row>
    <row r="451" spans="5:6" ht="17.25" customHeight="1" x14ac:dyDescent="0.2">
      <c r="E451" s="15"/>
      <c r="F451" s="15"/>
    </row>
    <row r="452" spans="5:6" ht="17.25" customHeight="1" x14ac:dyDescent="0.2">
      <c r="E452" s="15"/>
      <c r="F452" s="15"/>
    </row>
    <row r="453" spans="5:6" ht="17.25" customHeight="1" x14ac:dyDescent="0.2">
      <c r="E453" s="15"/>
      <c r="F453" s="15"/>
    </row>
    <row r="454" spans="5:6" ht="17.25" customHeight="1" x14ac:dyDescent="0.2">
      <c r="E454" s="15"/>
      <c r="F454" s="15"/>
    </row>
    <row r="455" spans="5:6" ht="17.25" customHeight="1" x14ac:dyDescent="0.2">
      <c r="E455" s="15"/>
      <c r="F455" s="15"/>
    </row>
    <row r="456" spans="5:6" ht="17.25" customHeight="1" x14ac:dyDescent="0.2">
      <c r="E456" s="15"/>
      <c r="F456" s="15"/>
    </row>
    <row r="457" spans="5:6" ht="17.25" customHeight="1" x14ac:dyDescent="0.2">
      <c r="E457" s="15"/>
      <c r="F457" s="15"/>
    </row>
    <row r="458" spans="5:6" ht="17.25" customHeight="1" x14ac:dyDescent="0.2">
      <c r="E458" s="15"/>
      <c r="F458" s="15"/>
    </row>
    <row r="459" spans="5:6" ht="17.25" customHeight="1" x14ac:dyDescent="0.2">
      <c r="E459" s="15"/>
      <c r="F459" s="15"/>
    </row>
    <row r="460" spans="5:6" ht="17.25" customHeight="1" x14ac:dyDescent="0.2">
      <c r="E460" s="15"/>
      <c r="F460" s="15"/>
    </row>
    <row r="461" spans="5:6" ht="17.25" customHeight="1" x14ac:dyDescent="0.2">
      <c r="E461" s="15"/>
      <c r="F461" s="15"/>
    </row>
    <row r="462" spans="5:6" ht="17.25" customHeight="1" x14ac:dyDescent="0.2">
      <c r="E462" s="15"/>
      <c r="F462" s="15"/>
    </row>
    <row r="463" spans="5:6" ht="17.25" customHeight="1" x14ac:dyDescent="0.2">
      <c r="E463" s="15"/>
      <c r="F463" s="15"/>
    </row>
    <row r="464" spans="5:6" ht="17.25" customHeight="1" x14ac:dyDescent="0.2">
      <c r="E464" s="15"/>
      <c r="F464" s="15"/>
    </row>
    <row r="465" spans="5:6" ht="17.25" customHeight="1" x14ac:dyDescent="0.2">
      <c r="E465" s="15"/>
      <c r="F465" s="15"/>
    </row>
    <row r="466" spans="5:6" ht="17.25" customHeight="1" x14ac:dyDescent="0.2">
      <c r="E466" s="15"/>
      <c r="F466" s="15"/>
    </row>
    <row r="467" spans="5:6" ht="17.25" customHeight="1" x14ac:dyDescent="0.2">
      <c r="E467" s="15"/>
      <c r="F467" s="15"/>
    </row>
    <row r="468" spans="5:6" ht="17.25" customHeight="1" x14ac:dyDescent="0.2">
      <c r="E468" s="15"/>
      <c r="F468" s="15"/>
    </row>
    <row r="469" spans="5:6" ht="17.25" customHeight="1" x14ac:dyDescent="0.2">
      <c r="E469" s="15"/>
      <c r="F469" s="15"/>
    </row>
    <row r="470" spans="5:6" ht="17.25" customHeight="1" x14ac:dyDescent="0.2">
      <c r="E470" s="15"/>
      <c r="F470" s="15"/>
    </row>
    <row r="471" spans="5:6" ht="17.25" customHeight="1" x14ac:dyDescent="0.2">
      <c r="E471" s="15"/>
      <c r="F471" s="15"/>
    </row>
    <row r="472" spans="5:6" ht="17.25" customHeight="1" x14ac:dyDescent="0.2">
      <c r="E472" s="15"/>
      <c r="F472" s="15"/>
    </row>
    <row r="473" spans="5:6" ht="17.25" customHeight="1" x14ac:dyDescent="0.2">
      <c r="E473" s="15"/>
      <c r="F473" s="15"/>
    </row>
    <row r="474" spans="5:6" ht="17.25" customHeight="1" x14ac:dyDescent="0.2">
      <c r="E474" s="15"/>
      <c r="F474" s="15"/>
    </row>
    <row r="475" spans="5:6" ht="17.25" customHeight="1" x14ac:dyDescent="0.2">
      <c r="E475" s="15"/>
      <c r="F475" s="15"/>
    </row>
    <row r="476" spans="5:6" ht="17.25" customHeight="1" x14ac:dyDescent="0.2">
      <c r="E476" s="15"/>
      <c r="F476" s="15"/>
    </row>
    <row r="477" spans="5:6" ht="17.25" customHeight="1" x14ac:dyDescent="0.2">
      <c r="E477" s="15"/>
      <c r="F477" s="15"/>
    </row>
    <row r="478" spans="5:6" ht="17.25" customHeight="1" x14ac:dyDescent="0.2">
      <c r="E478" s="15"/>
      <c r="F478" s="15"/>
    </row>
    <row r="479" spans="5:6" ht="17.25" customHeight="1" x14ac:dyDescent="0.2">
      <c r="E479" s="15"/>
      <c r="F479" s="15"/>
    </row>
    <row r="480" spans="5:6" ht="17.25" customHeight="1" x14ac:dyDescent="0.2">
      <c r="E480" s="15"/>
      <c r="F480" s="15"/>
    </row>
    <row r="481" spans="5:6" ht="17.25" customHeight="1" x14ac:dyDescent="0.2">
      <c r="E481" s="15"/>
      <c r="F481" s="15"/>
    </row>
    <row r="482" spans="5:6" ht="17.25" customHeight="1" x14ac:dyDescent="0.2">
      <c r="E482" s="15"/>
      <c r="F482" s="15"/>
    </row>
    <row r="483" spans="5:6" ht="17.25" customHeight="1" x14ac:dyDescent="0.2">
      <c r="E483" s="15"/>
      <c r="F483" s="15"/>
    </row>
    <row r="484" spans="5:6" ht="17.25" customHeight="1" x14ac:dyDescent="0.2">
      <c r="E484" s="15"/>
      <c r="F484" s="15"/>
    </row>
    <row r="485" spans="5:6" ht="17.25" customHeight="1" x14ac:dyDescent="0.2">
      <c r="E485" s="15"/>
      <c r="F485" s="15"/>
    </row>
    <row r="486" spans="5:6" ht="17.25" customHeight="1" x14ac:dyDescent="0.2">
      <c r="E486" s="15"/>
      <c r="F486" s="15"/>
    </row>
    <row r="487" spans="5:6" ht="17.25" customHeight="1" x14ac:dyDescent="0.2">
      <c r="E487" s="15"/>
      <c r="F487" s="15"/>
    </row>
    <row r="488" spans="5:6" ht="17.25" customHeight="1" x14ac:dyDescent="0.2">
      <c r="E488" s="15"/>
      <c r="F488" s="15"/>
    </row>
    <row r="489" spans="5:6" ht="17.25" customHeight="1" x14ac:dyDescent="0.2">
      <c r="E489" s="15"/>
      <c r="F489" s="15"/>
    </row>
    <row r="490" spans="5:6" ht="17.25" customHeight="1" x14ac:dyDescent="0.2">
      <c r="E490" s="15"/>
      <c r="F490" s="15"/>
    </row>
    <row r="491" spans="5:6" ht="17.25" customHeight="1" x14ac:dyDescent="0.2">
      <c r="E491" s="15"/>
      <c r="F491" s="15"/>
    </row>
    <row r="492" spans="5:6" ht="17.25" customHeight="1" x14ac:dyDescent="0.2">
      <c r="E492" s="15"/>
      <c r="F492" s="15"/>
    </row>
    <row r="493" spans="5:6" ht="17.25" customHeight="1" x14ac:dyDescent="0.2">
      <c r="E493" s="15"/>
      <c r="F493" s="15"/>
    </row>
    <row r="494" spans="5:6" ht="17.25" customHeight="1" x14ac:dyDescent="0.2">
      <c r="E494" s="15"/>
      <c r="F494" s="15"/>
    </row>
    <row r="495" spans="5:6" ht="17.25" customHeight="1" x14ac:dyDescent="0.2">
      <c r="E495" s="15"/>
      <c r="F495" s="15"/>
    </row>
    <row r="496" spans="5:6" ht="17.25" customHeight="1" x14ac:dyDescent="0.2">
      <c r="E496" s="15"/>
      <c r="F496" s="15"/>
    </row>
    <row r="497" spans="5:6" ht="17.25" customHeight="1" x14ac:dyDescent="0.2">
      <c r="E497" s="15"/>
      <c r="F497" s="15"/>
    </row>
    <row r="498" spans="5:6" ht="17.25" customHeight="1" x14ac:dyDescent="0.2">
      <c r="E498" s="15"/>
      <c r="F498" s="15"/>
    </row>
    <row r="499" spans="5:6" ht="17.25" customHeight="1" x14ac:dyDescent="0.2">
      <c r="E499" s="15"/>
      <c r="F499" s="15"/>
    </row>
    <row r="500" spans="5:6" ht="17.25" customHeight="1" x14ac:dyDescent="0.2">
      <c r="E500" s="15"/>
      <c r="F500" s="15"/>
    </row>
    <row r="501" spans="5:6" ht="17.25" customHeight="1" x14ac:dyDescent="0.2">
      <c r="E501" s="15"/>
      <c r="F501" s="15"/>
    </row>
    <row r="502" spans="5:6" ht="17.25" customHeight="1" x14ac:dyDescent="0.2">
      <c r="E502" s="15"/>
      <c r="F502" s="15"/>
    </row>
    <row r="503" spans="5:6" ht="17.25" customHeight="1" x14ac:dyDescent="0.2">
      <c r="E503" s="15"/>
      <c r="F503" s="15"/>
    </row>
    <row r="504" spans="5:6" ht="17.25" customHeight="1" x14ac:dyDescent="0.2">
      <c r="E504" s="15"/>
      <c r="F504" s="15"/>
    </row>
    <row r="505" spans="5:6" ht="17.25" customHeight="1" x14ac:dyDescent="0.2">
      <c r="E505" s="15"/>
      <c r="F505" s="15"/>
    </row>
    <row r="506" spans="5:6" ht="17.25" customHeight="1" x14ac:dyDescent="0.2">
      <c r="E506" s="15"/>
      <c r="F506" s="15"/>
    </row>
    <row r="507" spans="5:6" ht="17.25" customHeight="1" x14ac:dyDescent="0.2">
      <c r="E507" s="15"/>
      <c r="F507" s="15"/>
    </row>
    <row r="508" spans="5:6" ht="17.25" customHeight="1" x14ac:dyDescent="0.2">
      <c r="E508" s="15"/>
      <c r="F508" s="15"/>
    </row>
    <row r="509" spans="5:6" ht="17.25" customHeight="1" x14ac:dyDescent="0.2">
      <c r="E509" s="15"/>
      <c r="F509" s="15"/>
    </row>
    <row r="510" spans="5:6" ht="17.25" customHeight="1" x14ac:dyDescent="0.2">
      <c r="E510" s="15"/>
      <c r="F510" s="15"/>
    </row>
    <row r="511" spans="5:6" ht="17.25" customHeight="1" x14ac:dyDescent="0.2">
      <c r="E511" s="15"/>
      <c r="F511" s="15"/>
    </row>
    <row r="512" spans="5:6" ht="17.25" customHeight="1" x14ac:dyDescent="0.2">
      <c r="E512" s="15"/>
      <c r="F512" s="15"/>
    </row>
    <row r="513" spans="5:6" ht="17.25" customHeight="1" x14ac:dyDescent="0.2">
      <c r="E513" s="15"/>
      <c r="F513" s="15"/>
    </row>
    <row r="514" spans="5:6" ht="17.25" customHeight="1" x14ac:dyDescent="0.2">
      <c r="E514" s="15"/>
      <c r="F514" s="15"/>
    </row>
    <row r="515" spans="5:6" ht="17.25" customHeight="1" x14ac:dyDescent="0.2">
      <c r="E515" s="15"/>
      <c r="F515" s="15"/>
    </row>
    <row r="516" spans="5:6" ht="17.25" customHeight="1" x14ac:dyDescent="0.2">
      <c r="E516" s="15"/>
      <c r="F516" s="15"/>
    </row>
    <row r="517" spans="5:6" ht="17.25" customHeight="1" x14ac:dyDescent="0.2">
      <c r="E517" s="15"/>
      <c r="F517" s="15"/>
    </row>
    <row r="518" spans="5:6" ht="17.25" customHeight="1" x14ac:dyDescent="0.2">
      <c r="E518" s="15"/>
      <c r="F518" s="15"/>
    </row>
    <row r="519" spans="5:6" ht="17.25" customHeight="1" x14ac:dyDescent="0.2">
      <c r="E519" s="15"/>
      <c r="F519" s="15"/>
    </row>
    <row r="520" spans="5:6" ht="17.25" customHeight="1" x14ac:dyDescent="0.2">
      <c r="E520" s="15"/>
      <c r="F520" s="15"/>
    </row>
    <row r="521" spans="5:6" ht="17.25" customHeight="1" x14ac:dyDescent="0.2">
      <c r="E521" s="15"/>
      <c r="F521" s="15"/>
    </row>
    <row r="522" spans="5:6" ht="17.25" customHeight="1" x14ac:dyDescent="0.2">
      <c r="E522" s="15"/>
      <c r="F522" s="15"/>
    </row>
    <row r="523" spans="5:6" ht="17.25" customHeight="1" x14ac:dyDescent="0.2">
      <c r="E523" s="15"/>
      <c r="F523" s="15"/>
    </row>
    <row r="524" spans="5:6" ht="17.25" customHeight="1" x14ac:dyDescent="0.2">
      <c r="E524" s="15"/>
      <c r="F524" s="15"/>
    </row>
    <row r="525" spans="5:6" ht="17.25" customHeight="1" x14ac:dyDescent="0.2">
      <c r="E525" s="15"/>
      <c r="F525" s="15"/>
    </row>
    <row r="526" spans="5:6" ht="17.25" customHeight="1" x14ac:dyDescent="0.2">
      <c r="E526" s="15"/>
      <c r="F526" s="15"/>
    </row>
    <row r="527" spans="5:6" ht="17.25" customHeight="1" x14ac:dyDescent="0.2">
      <c r="E527" s="15"/>
      <c r="F527" s="15"/>
    </row>
    <row r="528" spans="5:6" ht="17.25" customHeight="1" x14ac:dyDescent="0.2">
      <c r="E528" s="15"/>
      <c r="F528" s="15"/>
    </row>
    <row r="529" spans="5:6" ht="17.25" customHeight="1" x14ac:dyDescent="0.2">
      <c r="E529" s="15"/>
      <c r="F529" s="15"/>
    </row>
    <row r="530" spans="5:6" ht="17.25" customHeight="1" x14ac:dyDescent="0.2">
      <c r="E530" s="15"/>
      <c r="F530" s="15"/>
    </row>
    <row r="531" spans="5:6" ht="17.25" customHeight="1" x14ac:dyDescent="0.2">
      <c r="E531" s="15"/>
      <c r="F531" s="15"/>
    </row>
    <row r="532" spans="5:6" ht="17.25" customHeight="1" x14ac:dyDescent="0.2">
      <c r="E532" s="15"/>
      <c r="F532" s="15"/>
    </row>
    <row r="533" spans="5:6" ht="17.25" customHeight="1" x14ac:dyDescent="0.2">
      <c r="E533" s="15"/>
      <c r="F533" s="15"/>
    </row>
    <row r="534" spans="5:6" ht="17.25" customHeight="1" x14ac:dyDescent="0.2">
      <c r="E534" s="15"/>
      <c r="F534" s="15"/>
    </row>
    <row r="535" spans="5:6" ht="17.25" customHeight="1" x14ac:dyDescent="0.2">
      <c r="E535" s="15"/>
      <c r="F535" s="15"/>
    </row>
    <row r="536" spans="5:6" ht="17.25" customHeight="1" x14ac:dyDescent="0.2">
      <c r="E536" s="15"/>
      <c r="F536" s="15"/>
    </row>
    <row r="537" spans="5:6" ht="17.25" customHeight="1" x14ac:dyDescent="0.2">
      <c r="E537" s="15"/>
      <c r="F537" s="15"/>
    </row>
    <row r="538" spans="5:6" ht="17.25" customHeight="1" x14ac:dyDescent="0.2">
      <c r="E538" s="15"/>
      <c r="F538" s="15"/>
    </row>
    <row r="539" spans="5:6" ht="17.25" customHeight="1" x14ac:dyDescent="0.2">
      <c r="E539" s="15"/>
      <c r="F539" s="15"/>
    </row>
    <row r="540" spans="5:6" ht="17.25" customHeight="1" x14ac:dyDescent="0.2">
      <c r="E540" s="15"/>
      <c r="F540" s="15"/>
    </row>
    <row r="541" spans="5:6" ht="17.25" customHeight="1" x14ac:dyDescent="0.2">
      <c r="E541" s="15"/>
      <c r="F541" s="15"/>
    </row>
    <row r="542" spans="5:6" ht="17.25" customHeight="1" x14ac:dyDescent="0.2">
      <c r="E542" s="15"/>
      <c r="F542" s="15"/>
    </row>
    <row r="543" spans="5:6" ht="17.25" customHeight="1" x14ac:dyDescent="0.2">
      <c r="E543" s="15"/>
      <c r="F543" s="15"/>
    </row>
    <row r="544" spans="5:6" ht="17.25" customHeight="1" x14ac:dyDescent="0.2">
      <c r="E544" s="15"/>
      <c r="F544" s="15"/>
    </row>
    <row r="545" spans="5:6" ht="17.25" customHeight="1" x14ac:dyDescent="0.2">
      <c r="E545" s="15"/>
      <c r="F545" s="15"/>
    </row>
    <row r="546" spans="5:6" ht="17.25" customHeight="1" x14ac:dyDescent="0.2">
      <c r="E546" s="15"/>
      <c r="F546" s="15"/>
    </row>
    <row r="547" spans="5:6" ht="17.25" customHeight="1" x14ac:dyDescent="0.2">
      <c r="E547" s="15"/>
      <c r="F547" s="15"/>
    </row>
    <row r="548" spans="5:6" ht="17.25" customHeight="1" x14ac:dyDescent="0.2">
      <c r="E548" s="15"/>
      <c r="F548" s="15"/>
    </row>
    <row r="549" spans="5:6" ht="17.25" customHeight="1" x14ac:dyDescent="0.2">
      <c r="E549" s="15"/>
      <c r="F549" s="15"/>
    </row>
    <row r="550" spans="5:6" ht="17.25" customHeight="1" x14ac:dyDescent="0.2">
      <c r="E550" s="15"/>
      <c r="F550" s="15"/>
    </row>
    <row r="551" spans="5:6" ht="17.25" customHeight="1" x14ac:dyDescent="0.2">
      <c r="E551" s="15"/>
      <c r="F551" s="15"/>
    </row>
    <row r="552" spans="5:6" ht="17.25" customHeight="1" x14ac:dyDescent="0.2">
      <c r="E552" s="15"/>
      <c r="F552" s="15"/>
    </row>
    <row r="553" spans="5:6" ht="17.25" customHeight="1" x14ac:dyDescent="0.2">
      <c r="E553" s="15"/>
      <c r="F553" s="15"/>
    </row>
    <row r="554" spans="5:6" ht="17.25" customHeight="1" x14ac:dyDescent="0.2">
      <c r="E554" s="15"/>
      <c r="F554" s="15"/>
    </row>
    <row r="555" spans="5:6" ht="17.25" customHeight="1" x14ac:dyDescent="0.2">
      <c r="E555" s="15"/>
      <c r="F555" s="15"/>
    </row>
    <row r="556" spans="5:6" ht="17.25" customHeight="1" x14ac:dyDescent="0.2">
      <c r="E556" s="15"/>
      <c r="F556" s="15"/>
    </row>
    <row r="557" spans="5:6" ht="17.25" customHeight="1" x14ac:dyDescent="0.2">
      <c r="E557" s="15"/>
      <c r="F557" s="15"/>
    </row>
    <row r="558" spans="5:6" ht="17.25" customHeight="1" x14ac:dyDescent="0.2">
      <c r="E558" s="15"/>
      <c r="F558" s="15"/>
    </row>
    <row r="559" spans="5:6" ht="17.25" customHeight="1" x14ac:dyDescent="0.2">
      <c r="E559" s="15"/>
      <c r="F559" s="15"/>
    </row>
    <row r="560" spans="5:6" ht="17.25" customHeight="1" x14ac:dyDescent="0.2">
      <c r="E560" s="15"/>
      <c r="F560" s="15"/>
    </row>
    <row r="561" spans="5:6" ht="17.25" customHeight="1" x14ac:dyDescent="0.2">
      <c r="E561" s="15"/>
      <c r="F561" s="15"/>
    </row>
    <row r="562" spans="5:6" ht="17.25" customHeight="1" x14ac:dyDescent="0.2">
      <c r="E562" s="15"/>
      <c r="F562" s="15"/>
    </row>
    <row r="563" spans="5:6" ht="17.25" customHeight="1" x14ac:dyDescent="0.2">
      <c r="E563" s="15"/>
      <c r="F563" s="15"/>
    </row>
    <row r="564" spans="5:6" ht="17.25" customHeight="1" x14ac:dyDescent="0.2">
      <c r="E564" s="15"/>
      <c r="F564" s="15"/>
    </row>
    <row r="565" spans="5:6" ht="17.25" customHeight="1" x14ac:dyDescent="0.2">
      <c r="E565" s="15"/>
      <c r="F565" s="15"/>
    </row>
    <row r="566" spans="5:6" ht="17.25" customHeight="1" x14ac:dyDescent="0.2">
      <c r="E566" s="15"/>
      <c r="F566" s="15"/>
    </row>
    <row r="567" spans="5:6" ht="17.25" customHeight="1" x14ac:dyDescent="0.2">
      <c r="E567" s="15"/>
      <c r="F567" s="15"/>
    </row>
    <row r="568" spans="5:6" ht="17.25" customHeight="1" x14ac:dyDescent="0.2">
      <c r="E568" s="15"/>
      <c r="F568" s="15"/>
    </row>
    <row r="569" spans="5:6" ht="17.25" customHeight="1" x14ac:dyDescent="0.2">
      <c r="E569" s="15"/>
      <c r="F569" s="15"/>
    </row>
    <row r="570" spans="5:6" ht="17.25" customHeight="1" x14ac:dyDescent="0.2">
      <c r="E570" s="15"/>
      <c r="F570" s="15"/>
    </row>
    <row r="571" spans="5:6" ht="17.25" customHeight="1" x14ac:dyDescent="0.2">
      <c r="E571" s="15"/>
      <c r="F571" s="15"/>
    </row>
    <row r="572" spans="5:6" ht="17.25" customHeight="1" x14ac:dyDescent="0.2">
      <c r="E572" s="15"/>
      <c r="F572" s="15"/>
    </row>
    <row r="573" spans="5:6" ht="17.25" customHeight="1" x14ac:dyDescent="0.2">
      <c r="E573" s="15"/>
      <c r="F573" s="15"/>
    </row>
    <row r="574" spans="5:6" ht="17.25" customHeight="1" x14ac:dyDescent="0.2">
      <c r="E574" s="15"/>
      <c r="F574" s="15"/>
    </row>
    <row r="575" spans="5:6" ht="17.25" customHeight="1" x14ac:dyDescent="0.2">
      <c r="E575" s="15"/>
      <c r="F575" s="15"/>
    </row>
    <row r="576" spans="5:6" ht="17.25" customHeight="1" x14ac:dyDescent="0.2">
      <c r="E576" s="15"/>
      <c r="F576" s="15"/>
    </row>
    <row r="577" spans="5:6" ht="17.25" customHeight="1" x14ac:dyDescent="0.2">
      <c r="E577" s="15"/>
      <c r="F577" s="15"/>
    </row>
    <row r="578" spans="5:6" ht="17.25" customHeight="1" x14ac:dyDescent="0.2">
      <c r="E578" s="15"/>
      <c r="F578" s="15"/>
    </row>
    <row r="579" spans="5:6" ht="17.25" customHeight="1" x14ac:dyDescent="0.2">
      <c r="E579" s="15"/>
      <c r="F579" s="15"/>
    </row>
    <row r="580" spans="5:6" ht="17.25" customHeight="1" x14ac:dyDescent="0.2">
      <c r="E580" s="15"/>
      <c r="F580" s="15"/>
    </row>
    <row r="581" spans="5:6" ht="17.25" customHeight="1" x14ac:dyDescent="0.2">
      <c r="E581" s="15"/>
      <c r="F581" s="15"/>
    </row>
    <row r="582" spans="5:6" ht="17.25" customHeight="1" x14ac:dyDescent="0.2">
      <c r="E582" s="15"/>
      <c r="F582" s="15"/>
    </row>
    <row r="583" spans="5:6" ht="17.25" customHeight="1" x14ac:dyDescent="0.2">
      <c r="E583" s="15"/>
      <c r="F583" s="15"/>
    </row>
    <row r="584" spans="5:6" ht="17.25" customHeight="1" x14ac:dyDescent="0.2">
      <c r="E584" s="15"/>
      <c r="F584" s="15"/>
    </row>
    <row r="585" spans="5:6" ht="17.25" customHeight="1" x14ac:dyDescent="0.2">
      <c r="E585" s="15"/>
      <c r="F585" s="15"/>
    </row>
    <row r="586" spans="5:6" ht="17.25" customHeight="1" x14ac:dyDescent="0.2">
      <c r="E586" s="15"/>
      <c r="F586" s="15"/>
    </row>
    <row r="587" spans="5:6" ht="17.25" customHeight="1" x14ac:dyDescent="0.2">
      <c r="E587" s="15"/>
      <c r="F587" s="15"/>
    </row>
    <row r="588" spans="5:6" ht="17.25" customHeight="1" x14ac:dyDescent="0.2">
      <c r="E588" s="15"/>
      <c r="F588" s="15"/>
    </row>
    <row r="589" spans="5:6" ht="17.25" customHeight="1" x14ac:dyDescent="0.2">
      <c r="E589" s="15"/>
      <c r="F589" s="15"/>
    </row>
    <row r="590" spans="5:6" ht="17.25" customHeight="1" x14ac:dyDescent="0.2">
      <c r="E590" s="15"/>
      <c r="F590" s="15"/>
    </row>
    <row r="591" spans="5:6" ht="17.25" customHeight="1" x14ac:dyDescent="0.2">
      <c r="E591" s="15"/>
      <c r="F591" s="15"/>
    </row>
    <row r="592" spans="5:6" ht="17.25" customHeight="1" x14ac:dyDescent="0.2">
      <c r="E592" s="15"/>
      <c r="F592" s="15"/>
    </row>
    <row r="593" spans="5:6" ht="17.25" customHeight="1" x14ac:dyDescent="0.2">
      <c r="E593" s="15"/>
      <c r="F593" s="15"/>
    </row>
    <row r="594" spans="5:6" ht="17.25" customHeight="1" x14ac:dyDescent="0.2">
      <c r="E594" s="15"/>
      <c r="F594" s="15"/>
    </row>
    <row r="595" spans="5:6" ht="17.25" customHeight="1" x14ac:dyDescent="0.2">
      <c r="E595" s="15"/>
      <c r="F595" s="15"/>
    </row>
    <row r="596" spans="5:6" ht="17.25" customHeight="1" x14ac:dyDescent="0.2">
      <c r="E596" s="15"/>
      <c r="F596" s="15"/>
    </row>
    <row r="597" spans="5:6" ht="17.25" customHeight="1" x14ac:dyDescent="0.2">
      <c r="E597" s="15"/>
      <c r="F597" s="15"/>
    </row>
    <row r="598" spans="5:6" ht="17.25" customHeight="1" x14ac:dyDescent="0.2">
      <c r="E598" s="15"/>
      <c r="F598" s="15"/>
    </row>
    <row r="599" spans="5:6" ht="17.25" customHeight="1" x14ac:dyDescent="0.2">
      <c r="E599" s="15"/>
      <c r="F599" s="15"/>
    </row>
    <row r="600" spans="5:6" ht="17.25" customHeight="1" x14ac:dyDescent="0.2">
      <c r="E600" s="15"/>
      <c r="F600" s="15"/>
    </row>
    <row r="601" spans="5:6" ht="17.25" customHeight="1" x14ac:dyDescent="0.2">
      <c r="E601" s="15"/>
      <c r="F601" s="15"/>
    </row>
    <row r="602" spans="5:6" ht="17.25" customHeight="1" x14ac:dyDescent="0.2">
      <c r="E602" s="15"/>
      <c r="F602" s="15"/>
    </row>
    <row r="603" spans="5:6" ht="17.25" customHeight="1" x14ac:dyDescent="0.2">
      <c r="E603" s="15"/>
      <c r="F603" s="15"/>
    </row>
    <row r="604" spans="5:6" ht="17.25" customHeight="1" x14ac:dyDescent="0.2">
      <c r="E604" s="15"/>
      <c r="F604" s="15"/>
    </row>
    <row r="605" spans="5:6" ht="17.25" customHeight="1" x14ac:dyDescent="0.2">
      <c r="E605" s="15"/>
      <c r="F605" s="15"/>
    </row>
    <row r="606" spans="5:6" ht="17.25" customHeight="1" x14ac:dyDescent="0.2">
      <c r="E606" s="15"/>
      <c r="F606" s="15"/>
    </row>
    <row r="607" spans="5:6" ht="17.25" customHeight="1" x14ac:dyDescent="0.2">
      <c r="E607" s="15"/>
      <c r="F607" s="15"/>
    </row>
    <row r="608" spans="5:6" ht="17.25" customHeight="1" x14ac:dyDescent="0.2">
      <c r="E608" s="15"/>
      <c r="F608" s="15"/>
    </row>
    <row r="609" spans="5:6" ht="17.25" customHeight="1" x14ac:dyDescent="0.2">
      <c r="E609" s="15"/>
      <c r="F609" s="15"/>
    </row>
    <row r="610" spans="5:6" ht="17.25" customHeight="1" x14ac:dyDescent="0.2">
      <c r="E610" s="15"/>
      <c r="F610" s="15"/>
    </row>
    <row r="611" spans="5:6" ht="17.25" customHeight="1" x14ac:dyDescent="0.2">
      <c r="E611" s="15"/>
      <c r="F611" s="15"/>
    </row>
    <row r="612" spans="5:6" ht="17.25" customHeight="1" x14ac:dyDescent="0.2">
      <c r="E612" s="15"/>
      <c r="F612" s="15"/>
    </row>
    <row r="613" spans="5:6" ht="17.25" customHeight="1" x14ac:dyDescent="0.2">
      <c r="E613" s="15"/>
      <c r="F613" s="15"/>
    </row>
    <row r="614" spans="5:6" ht="17.25" customHeight="1" x14ac:dyDescent="0.2">
      <c r="E614" s="15"/>
      <c r="F614" s="15"/>
    </row>
    <row r="615" spans="5:6" ht="17.25" customHeight="1" x14ac:dyDescent="0.2">
      <c r="E615" s="15"/>
      <c r="F615" s="15"/>
    </row>
    <row r="616" spans="5:6" ht="17.25" customHeight="1" x14ac:dyDescent="0.2">
      <c r="E616" s="15"/>
      <c r="F616" s="15"/>
    </row>
    <row r="617" spans="5:6" ht="17.25" customHeight="1" x14ac:dyDescent="0.2">
      <c r="E617" s="15"/>
      <c r="F617" s="15"/>
    </row>
    <row r="618" spans="5:6" ht="17.25" customHeight="1" x14ac:dyDescent="0.2">
      <c r="E618" s="15"/>
      <c r="F618" s="15"/>
    </row>
    <row r="619" spans="5:6" ht="17.25" customHeight="1" x14ac:dyDescent="0.2">
      <c r="E619" s="15"/>
      <c r="F619" s="15"/>
    </row>
    <row r="620" spans="5:6" ht="17.25" customHeight="1" x14ac:dyDescent="0.2">
      <c r="E620" s="15"/>
      <c r="F620" s="15"/>
    </row>
    <row r="621" spans="5:6" ht="17.25" customHeight="1" x14ac:dyDescent="0.2">
      <c r="E621" s="15"/>
      <c r="F621" s="15"/>
    </row>
    <row r="622" spans="5:6" ht="17.25" customHeight="1" x14ac:dyDescent="0.2">
      <c r="E622" s="15"/>
      <c r="F622" s="15"/>
    </row>
    <row r="623" spans="5:6" ht="17.25" customHeight="1" x14ac:dyDescent="0.2">
      <c r="E623" s="15"/>
      <c r="F623" s="15"/>
    </row>
    <row r="624" spans="5:6" ht="17.25" customHeight="1" x14ac:dyDescent="0.2">
      <c r="E624" s="15"/>
      <c r="F624" s="15"/>
    </row>
    <row r="625" spans="5:6" ht="17.25" customHeight="1" x14ac:dyDescent="0.2">
      <c r="E625" s="15"/>
      <c r="F625" s="15"/>
    </row>
    <row r="626" spans="5:6" ht="17.25" customHeight="1" x14ac:dyDescent="0.2">
      <c r="E626" s="15"/>
      <c r="F626" s="15"/>
    </row>
    <row r="627" spans="5:6" ht="17.25" customHeight="1" x14ac:dyDescent="0.2">
      <c r="E627" s="15"/>
      <c r="F627" s="15"/>
    </row>
    <row r="628" spans="5:6" ht="17.25" customHeight="1" x14ac:dyDescent="0.2">
      <c r="E628" s="15"/>
      <c r="F628" s="15"/>
    </row>
    <row r="629" spans="5:6" ht="17.25" customHeight="1" x14ac:dyDescent="0.2">
      <c r="E629" s="15"/>
      <c r="F629" s="15"/>
    </row>
    <row r="630" spans="5:6" ht="17.25" customHeight="1" x14ac:dyDescent="0.2">
      <c r="E630" s="15"/>
      <c r="F630" s="15"/>
    </row>
    <row r="631" spans="5:6" ht="17.25" customHeight="1" x14ac:dyDescent="0.2">
      <c r="E631" s="15"/>
      <c r="F631" s="15"/>
    </row>
    <row r="632" spans="5:6" ht="17.25" customHeight="1" x14ac:dyDescent="0.2">
      <c r="E632" s="15"/>
      <c r="F632" s="15"/>
    </row>
    <row r="633" spans="5:6" ht="17.25" customHeight="1" x14ac:dyDescent="0.2">
      <c r="E633" s="15"/>
      <c r="F633" s="15"/>
    </row>
    <row r="634" spans="5:6" ht="17.25" customHeight="1" x14ac:dyDescent="0.2">
      <c r="E634" s="15"/>
      <c r="F634" s="15"/>
    </row>
    <row r="635" spans="5:6" ht="17.25" customHeight="1" x14ac:dyDescent="0.2">
      <c r="E635" s="15"/>
      <c r="F635" s="15"/>
    </row>
    <row r="636" spans="5:6" ht="17.25" customHeight="1" x14ac:dyDescent="0.2">
      <c r="E636" s="15"/>
      <c r="F636" s="15"/>
    </row>
    <row r="637" spans="5:6" ht="17.25" customHeight="1" x14ac:dyDescent="0.2">
      <c r="E637" s="15"/>
      <c r="F637" s="15"/>
    </row>
    <row r="638" spans="5:6" ht="17.25" customHeight="1" x14ac:dyDescent="0.2">
      <c r="E638" s="15"/>
      <c r="F638" s="15"/>
    </row>
    <row r="639" spans="5:6" ht="17.25" customHeight="1" x14ac:dyDescent="0.2">
      <c r="E639" s="15"/>
      <c r="F639" s="15"/>
    </row>
    <row r="640" spans="5:6" ht="17.25" customHeight="1" x14ac:dyDescent="0.2">
      <c r="E640" s="15"/>
      <c r="F640" s="15"/>
    </row>
    <row r="641" spans="5:6" ht="17.25" customHeight="1" x14ac:dyDescent="0.2">
      <c r="E641" s="15"/>
      <c r="F641" s="15"/>
    </row>
    <row r="642" spans="5:6" ht="17.25" customHeight="1" x14ac:dyDescent="0.2">
      <c r="E642" s="15"/>
      <c r="F642" s="15"/>
    </row>
    <row r="643" spans="5:6" ht="17.25" customHeight="1" x14ac:dyDescent="0.2">
      <c r="E643" s="15"/>
      <c r="F643" s="15"/>
    </row>
    <row r="644" spans="5:6" ht="17.25" customHeight="1" x14ac:dyDescent="0.2">
      <c r="E644" s="15"/>
      <c r="F644" s="15"/>
    </row>
    <row r="645" spans="5:6" ht="17.25" customHeight="1" x14ac:dyDescent="0.2">
      <c r="E645" s="15"/>
      <c r="F645" s="15"/>
    </row>
    <row r="646" spans="5:6" ht="17.25" customHeight="1" x14ac:dyDescent="0.2">
      <c r="E646" s="15"/>
      <c r="F646" s="15"/>
    </row>
    <row r="647" spans="5:6" ht="17.25" customHeight="1" x14ac:dyDescent="0.2">
      <c r="E647" s="15"/>
      <c r="F647" s="15"/>
    </row>
    <row r="648" spans="5:6" ht="17.25" customHeight="1" x14ac:dyDescent="0.2">
      <c r="E648" s="15"/>
      <c r="F648" s="15"/>
    </row>
    <row r="649" spans="5:6" ht="17.25" customHeight="1" x14ac:dyDescent="0.2">
      <c r="E649" s="15"/>
      <c r="F649" s="15"/>
    </row>
    <row r="650" spans="5:6" ht="17.25" customHeight="1" x14ac:dyDescent="0.2">
      <c r="E650" s="15"/>
      <c r="F650" s="15"/>
    </row>
    <row r="651" spans="5:6" ht="17.25" customHeight="1" x14ac:dyDescent="0.2">
      <c r="E651" s="15"/>
      <c r="F651" s="15"/>
    </row>
    <row r="652" spans="5:6" ht="17.25" customHeight="1" x14ac:dyDescent="0.2">
      <c r="E652" s="15"/>
      <c r="F652" s="15"/>
    </row>
    <row r="653" spans="5:6" ht="17.25" customHeight="1" x14ac:dyDescent="0.2">
      <c r="E653" s="15"/>
      <c r="F653" s="15"/>
    </row>
    <row r="654" spans="5:6" ht="17.25" customHeight="1" x14ac:dyDescent="0.2">
      <c r="E654" s="15"/>
      <c r="F654" s="15"/>
    </row>
    <row r="655" spans="5:6" ht="17.25" customHeight="1" x14ac:dyDescent="0.2">
      <c r="E655" s="15"/>
      <c r="F655" s="15"/>
    </row>
    <row r="656" spans="5:6" ht="17.25" customHeight="1" x14ac:dyDescent="0.2">
      <c r="E656" s="15"/>
      <c r="F656" s="15"/>
    </row>
    <row r="657" spans="5:6" ht="17.25" customHeight="1" x14ac:dyDescent="0.2">
      <c r="E657" s="15"/>
      <c r="F657" s="15"/>
    </row>
    <row r="658" spans="5:6" ht="17.25" customHeight="1" x14ac:dyDescent="0.2">
      <c r="E658" s="15"/>
      <c r="F658" s="15"/>
    </row>
    <row r="659" spans="5:6" ht="17.25" customHeight="1" x14ac:dyDescent="0.2">
      <c r="E659" s="15"/>
      <c r="F659" s="15"/>
    </row>
    <row r="660" spans="5:6" ht="17.25" customHeight="1" x14ac:dyDescent="0.2">
      <c r="E660" s="15"/>
      <c r="F660" s="15"/>
    </row>
    <row r="661" spans="5:6" ht="17.25" customHeight="1" x14ac:dyDescent="0.2">
      <c r="E661" s="15"/>
      <c r="F661" s="15"/>
    </row>
    <row r="662" spans="5:6" ht="17.25" customHeight="1" x14ac:dyDescent="0.2">
      <c r="E662" s="15"/>
      <c r="F662" s="15"/>
    </row>
    <row r="663" spans="5:6" ht="17.25" customHeight="1" x14ac:dyDescent="0.2">
      <c r="E663" s="15"/>
      <c r="F663" s="15"/>
    </row>
    <row r="664" spans="5:6" ht="17.25" customHeight="1" x14ac:dyDescent="0.2">
      <c r="E664" s="15"/>
      <c r="F664" s="15"/>
    </row>
    <row r="665" spans="5:6" ht="17.25" customHeight="1" x14ac:dyDescent="0.2">
      <c r="E665" s="15"/>
      <c r="F665" s="15"/>
    </row>
    <row r="666" spans="5:6" ht="17.25" customHeight="1" x14ac:dyDescent="0.2">
      <c r="E666" s="15"/>
      <c r="F666" s="15"/>
    </row>
    <row r="667" spans="5:6" ht="17.25" customHeight="1" x14ac:dyDescent="0.2">
      <c r="E667" s="15"/>
      <c r="F667" s="15"/>
    </row>
    <row r="668" spans="5:6" ht="17.25" customHeight="1" x14ac:dyDescent="0.2">
      <c r="E668" s="15"/>
      <c r="F668" s="15"/>
    </row>
    <row r="669" spans="5:6" ht="17.25" customHeight="1" x14ac:dyDescent="0.2">
      <c r="E669" s="15"/>
      <c r="F669" s="15"/>
    </row>
    <row r="670" spans="5:6" ht="17.25" customHeight="1" x14ac:dyDescent="0.2">
      <c r="E670" s="15"/>
      <c r="F670" s="15"/>
    </row>
    <row r="671" spans="5:6" ht="17.25" customHeight="1" x14ac:dyDescent="0.2">
      <c r="E671" s="15"/>
      <c r="F671" s="15"/>
    </row>
    <row r="672" spans="5:6" ht="17.25" customHeight="1" x14ac:dyDescent="0.2">
      <c r="E672" s="15"/>
      <c r="F672" s="15"/>
    </row>
    <row r="673" spans="5:6" ht="17.25" customHeight="1" x14ac:dyDescent="0.2">
      <c r="E673" s="15"/>
      <c r="F673" s="15"/>
    </row>
    <row r="674" spans="5:6" ht="17.25" customHeight="1" x14ac:dyDescent="0.2">
      <c r="E674" s="15"/>
      <c r="F674" s="15"/>
    </row>
    <row r="675" spans="5:6" ht="17.25" customHeight="1" x14ac:dyDescent="0.2">
      <c r="E675" s="15"/>
      <c r="F675" s="15"/>
    </row>
    <row r="676" spans="5:6" ht="17.25" customHeight="1" x14ac:dyDescent="0.2">
      <c r="E676" s="15"/>
      <c r="F676" s="15"/>
    </row>
    <row r="677" spans="5:6" ht="17.25" customHeight="1" x14ac:dyDescent="0.2">
      <c r="E677" s="15"/>
      <c r="F677" s="15"/>
    </row>
    <row r="678" spans="5:6" ht="17.25" customHeight="1" x14ac:dyDescent="0.2">
      <c r="E678" s="15"/>
      <c r="F678" s="15"/>
    </row>
    <row r="679" spans="5:6" ht="17.25" customHeight="1" x14ac:dyDescent="0.2">
      <c r="E679" s="15"/>
      <c r="F679" s="15"/>
    </row>
    <row r="680" spans="5:6" ht="17.25" customHeight="1" x14ac:dyDescent="0.2">
      <c r="E680" s="15"/>
      <c r="F680" s="15"/>
    </row>
    <row r="681" spans="5:6" ht="17.25" customHeight="1" x14ac:dyDescent="0.2">
      <c r="E681" s="15"/>
      <c r="F681" s="15"/>
    </row>
    <row r="682" spans="5:6" ht="17.25" customHeight="1" x14ac:dyDescent="0.2">
      <c r="E682" s="15"/>
      <c r="F682" s="15"/>
    </row>
    <row r="683" spans="5:6" ht="17.25" customHeight="1" x14ac:dyDescent="0.2">
      <c r="E683" s="15"/>
      <c r="F683" s="15"/>
    </row>
    <row r="684" spans="5:6" ht="17.25" customHeight="1" x14ac:dyDescent="0.2">
      <c r="E684" s="15"/>
      <c r="F684" s="15"/>
    </row>
    <row r="685" spans="5:6" ht="17.25" customHeight="1" x14ac:dyDescent="0.2">
      <c r="E685" s="15"/>
      <c r="F685" s="15"/>
    </row>
    <row r="686" spans="5:6" ht="17.25" customHeight="1" x14ac:dyDescent="0.2">
      <c r="E686" s="15"/>
      <c r="F686" s="15"/>
    </row>
    <row r="687" spans="5:6" ht="17.25" customHeight="1" x14ac:dyDescent="0.2">
      <c r="E687" s="15"/>
      <c r="F687" s="15"/>
    </row>
    <row r="688" spans="5:6" ht="17.25" customHeight="1" x14ac:dyDescent="0.2">
      <c r="E688" s="15"/>
      <c r="F688" s="15"/>
    </row>
    <row r="689" spans="5:6" ht="17.25" customHeight="1" x14ac:dyDescent="0.2">
      <c r="E689" s="15"/>
      <c r="F689" s="15"/>
    </row>
    <row r="690" spans="5:6" ht="17.25" customHeight="1" x14ac:dyDescent="0.2">
      <c r="E690" s="15"/>
      <c r="F690" s="15"/>
    </row>
    <row r="691" spans="5:6" ht="17.25" customHeight="1" x14ac:dyDescent="0.2">
      <c r="E691" s="15"/>
      <c r="F691" s="15"/>
    </row>
    <row r="692" spans="5:6" ht="17.25" customHeight="1" x14ac:dyDescent="0.2">
      <c r="E692" s="15"/>
      <c r="F692" s="15"/>
    </row>
    <row r="693" spans="5:6" ht="17.25" customHeight="1" x14ac:dyDescent="0.2">
      <c r="E693" s="15"/>
      <c r="F693" s="15"/>
    </row>
    <row r="694" spans="5:6" ht="17.25" customHeight="1" x14ac:dyDescent="0.2">
      <c r="E694" s="15"/>
      <c r="F694" s="15"/>
    </row>
    <row r="695" spans="5:6" ht="17.25" customHeight="1" x14ac:dyDescent="0.2">
      <c r="E695" s="15"/>
      <c r="F695" s="15"/>
    </row>
    <row r="696" spans="5:6" ht="17.25" customHeight="1" x14ac:dyDescent="0.2">
      <c r="E696" s="15"/>
      <c r="F696" s="15"/>
    </row>
    <row r="697" spans="5:6" ht="17.25" customHeight="1" x14ac:dyDescent="0.2">
      <c r="E697" s="15"/>
      <c r="F697" s="15"/>
    </row>
    <row r="698" spans="5:6" ht="17.25" customHeight="1" x14ac:dyDescent="0.2">
      <c r="E698" s="15"/>
      <c r="F698" s="15"/>
    </row>
    <row r="699" spans="5:6" ht="17.25" customHeight="1" x14ac:dyDescent="0.2">
      <c r="E699" s="15"/>
      <c r="F699" s="15"/>
    </row>
    <row r="700" spans="5:6" ht="17.25" customHeight="1" x14ac:dyDescent="0.2">
      <c r="E700" s="15"/>
      <c r="F700" s="15"/>
    </row>
    <row r="701" spans="5:6" ht="17.25" customHeight="1" x14ac:dyDescent="0.2">
      <c r="E701" s="15"/>
      <c r="F701" s="15"/>
    </row>
    <row r="702" spans="5:6" ht="17.25" customHeight="1" x14ac:dyDescent="0.2">
      <c r="E702" s="15"/>
      <c r="F702" s="15"/>
    </row>
    <row r="703" spans="5:6" ht="17.25" customHeight="1" x14ac:dyDescent="0.2">
      <c r="E703" s="15"/>
      <c r="F703" s="15"/>
    </row>
    <row r="704" spans="5:6" ht="17.25" customHeight="1" x14ac:dyDescent="0.2">
      <c r="E704" s="15"/>
      <c r="F704" s="15"/>
    </row>
    <row r="705" spans="5:6" ht="17.25" customHeight="1" x14ac:dyDescent="0.2">
      <c r="E705" s="15"/>
      <c r="F705" s="15"/>
    </row>
    <row r="706" spans="5:6" ht="17.25" customHeight="1" x14ac:dyDescent="0.2">
      <c r="E706" s="15"/>
      <c r="F706" s="15"/>
    </row>
    <row r="707" spans="5:6" ht="17.25" customHeight="1" x14ac:dyDescent="0.2">
      <c r="E707" s="15"/>
      <c r="F707" s="15"/>
    </row>
    <row r="708" spans="5:6" ht="17.25" customHeight="1" x14ac:dyDescent="0.2">
      <c r="E708" s="15"/>
      <c r="F708" s="15"/>
    </row>
    <row r="709" spans="5:6" ht="17.25" customHeight="1" x14ac:dyDescent="0.2">
      <c r="E709" s="15"/>
      <c r="F709" s="15"/>
    </row>
    <row r="710" spans="5:6" ht="17.25" customHeight="1" x14ac:dyDescent="0.2">
      <c r="E710" s="15"/>
      <c r="F710" s="15"/>
    </row>
    <row r="711" spans="5:6" ht="17.25" customHeight="1" x14ac:dyDescent="0.2">
      <c r="E711" s="15"/>
      <c r="F711" s="15"/>
    </row>
    <row r="712" spans="5:6" ht="17.25" customHeight="1" x14ac:dyDescent="0.2">
      <c r="E712" s="15"/>
      <c r="F712" s="15"/>
    </row>
    <row r="713" spans="5:6" ht="17.25" customHeight="1" x14ac:dyDescent="0.2">
      <c r="E713" s="15"/>
      <c r="F713" s="15"/>
    </row>
    <row r="714" spans="5:6" ht="17.25" customHeight="1" x14ac:dyDescent="0.2">
      <c r="E714" s="15"/>
      <c r="F714" s="15"/>
    </row>
    <row r="715" spans="5:6" ht="17.25" customHeight="1" x14ac:dyDescent="0.2">
      <c r="E715" s="15"/>
      <c r="F715" s="15"/>
    </row>
    <row r="716" spans="5:6" ht="17.25" customHeight="1" x14ac:dyDescent="0.2">
      <c r="E716" s="15"/>
      <c r="F716" s="15"/>
    </row>
    <row r="717" spans="5:6" ht="17.25" customHeight="1" x14ac:dyDescent="0.2">
      <c r="E717" s="15"/>
      <c r="F717" s="15"/>
    </row>
    <row r="718" spans="5:6" ht="17.25" customHeight="1" x14ac:dyDescent="0.2">
      <c r="E718" s="15"/>
      <c r="F718" s="15"/>
    </row>
    <row r="719" spans="5:6" ht="17.25" customHeight="1" x14ac:dyDescent="0.2">
      <c r="E719" s="15"/>
      <c r="F719" s="15"/>
    </row>
    <row r="720" spans="5:6" ht="17.25" customHeight="1" x14ac:dyDescent="0.2">
      <c r="E720" s="15"/>
      <c r="F720" s="15"/>
    </row>
    <row r="721" spans="5:6" ht="17.25" customHeight="1" x14ac:dyDescent="0.2">
      <c r="E721" s="15"/>
      <c r="F721" s="15"/>
    </row>
    <row r="722" spans="5:6" ht="17.25" customHeight="1" x14ac:dyDescent="0.2">
      <c r="E722" s="15"/>
      <c r="F722" s="15"/>
    </row>
    <row r="723" spans="5:6" ht="17.25" customHeight="1" x14ac:dyDescent="0.2">
      <c r="E723" s="15"/>
      <c r="F723" s="15"/>
    </row>
    <row r="724" spans="5:6" ht="17.25" customHeight="1" x14ac:dyDescent="0.2">
      <c r="E724" s="15"/>
      <c r="F724" s="15"/>
    </row>
    <row r="725" spans="5:6" ht="17.25" customHeight="1" x14ac:dyDescent="0.2">
      <c r="E725" s="15"/>
      <c r="F725" s="15"/>
    </row>
    <row r="726" spans="5:6" ht="17.25" customHeight="1" x14ac:dyDescent="0.2">
      <c r="E726" s="15"/>
      <c r="F726" s="15"/>
    </row>
    <row r="727" spans="5:6" ht="17.25" customHeight="1" x14ac:dyDescent="0.2">
      <c r="E727" s="15"/>
      <c r="F727" s="15"/>
    </row>
    <row r="728" spans="5:6" ht="17.25" customHeight="1" x14ac:dyDescent="0.2">
      <c r="E728" s="15"/>
      <c r="F728" s="15"/>
    </row>
    <row r="729" spans="5:6" ht="17.25" customHeight="1" x14ac:dyDescent="0.2">
      <c r="E729" s="15"/>
      <c r="F729" s="15"/>
    </row>
    <row r="730" spans="5:6" ht="17.25" customHeight="1" x14ac:dyDescent="0.2">
      <c r="E730" s="15"/>
      <c r="F730" s="15"/>
    </row>
    <row r="731" spans="5:6" ht="17.25" customHeight="1" x14ac:dyDescent="0.2">
      <c r="E731" s="15"/>
      <c r="F731" s="15"/>
    </row>
    <row r="732" spans="5:6" ht="17.25" customHeight="1" x14ac:dyDescent="0.2">
      <c r="E732" s="15"/>
      <c r="F732" s="15"/>
    </row>
    <row r="733" spans="5:6" ht="17.25" customHeight="1" x14ac:dyDescent="0.2">
      <c r="E733" s="15"/>
      <c r="F733" s="15"/>
    </row>
    <row r="734" spans="5:6" ht="17.25" customHeight="1" x14ac:dyDescent="0.2">
      <c r="E734" s="15"/>
      <c r="F734" s="15"/>
    </row>
    <row r="735" spans="5:6" ht="17.25" customHeight="1" x14ac:dyDescent="0.2">
      <c r="E735" s="15"/>
      <c r="F735" s="15"/>
    </row>
    <row r="736" spans="5:6" ht="17.25" customHeight="1" x14ac:dyDescent="0.2">
      <c r="E736" s="15"/>
      <c r="F736" s="15"/>
    </row>
    <row r="737" spans="5:6" ht="17.25" customHeight="1" x14ac:dyDescent="0.2">
      <c r="E737" s="15"/>
      <c r="F737" s="15"/>
    </row>
    <row r="738" spans="5:6" ht="17.25" customHeight="1" x14ac:dyDescent="0.2">
      <c r="E738" s="15"/>
      <c r="F738" s="15"/>
    </row>
    <row r="739" spans="5:6" ht="17.25" customHeight="1" x14ac:dyDescent="0.2">
      <c r="E739" s="15"/>
      <c r="F739" s="15"/>
    </row>
    <row r="740" spans="5:6" ht="17.25" customHeight="1" x14ac:dyDescent="0.2">
      <c r="E740" s="15"/>
      <c r="F740" s="15"/>
    </row>
    <row r="741" spans="5:6" ht="17.25" customHeight="1" x14ac:dyDescent="0.2">
      <c r="E741" s="15"/>
      <c r="F741" s="15"/>
    </row>
    <row r="742" spans="5:6" ht="17.25" customHeight="1" x14ac:dyDescent="0.2">
      <c r="E742" s="15"/>
      <c r="F742" s="15"/>
    </row>
    <row r="743" spans="5:6" ht="17.25" customHeight="1" x14ac:dyDescent="0.2">
      <c r="E743" s="15"/>
      <c r="F743" s="15"/>
    </row>
    <row r="744" spans="5:6" ht="17.25" customHeight="1" x14ac:dyDescent="0.2">
      <c r="E744" s="15"/>
      <c r="F744" s="15"/>
    </row>
    <row r="745" spans="5:6" ht="17.25" customHeight="1" x14ac:dyDescent="0.2">
      <c r="E745" s="15"/>
      <c r="F745" s="15"/>
    </row>
    <row r="746" spans="5:6" ht="17.25" customHeight="1" x14ac:dyDescent="0.2">
      <c r="E746" s="15"/>
      <c r="F746" s="15"/>
    </row>
    <row r="747" spans="5:6" ht="17.25" customHeight="1" x14ac:dyDescent="0.2">
      <c r="E747" s="15"/>
      <c r="F747" s="15"/>
    </row>
    <row r="748" spans="5:6" ht="17.25" customHeight="1" x14ac:dyDescent="0.2">
      <c r="E748" s="15"/>
      <c r="F748" s="15"/>
    </row>
    <row r="749" spans="5:6" ht="17.25" customHeight="1" x14ac:dyDescent="0.2">
      <c r="E749" s="15"/>
      <c r="F749" s="15"/>
    </row>
    <row r="750" spans="5:6" ht="17.25" customHeight="1" x14ac:dyDescent="0.2">
      <c r="E750" s="15"/>
      <c r="F750" s="15"/>
    </row>
    <row r="751" spans="5:6" ht="17.25" customHeight="1" x14ac:dyDescent="0.2">
      <c r="E751" s="15"/>
      <c r="F751" s="15"/>
    </row>
    <row r="752" spans="5:6" ht="17.25" customHeight="1" x14ac:dyDescent="0.2">
      <c r="E752" s="15"/>
      <c r="F752" s="15"/>
    </row>
    <row r="753" spans="5:6" ht="17.25" customHeight="1" x14ac:dyDescent="0.2">
      <c r="E753" s="15"/>
      <c r="F753" s="15"/>
    </row>
    <row r="754" spans="5:6" ht="17.25" customHeight="1" x14ac:dyDescent="0.2">
      <c r="E754" s="15"/>
      <c r="F754" s="15"/>
    </row>
    <row r="755" spans="5:6" ht="17.25" customHeight="1" x14ac:dyDescent="0.2">
      <c r="E755" s="15"/>
      <c r="F755" s="15"/>
    </row>
    <row r="756" spans="5:6" ht="17.25" customHeight="1" x14ac:dyDescent="0.2">
      <c r="E756" s="15"/>
      <c r="F756" s="15"/>
    </row>
    <row r="757" spans="5:6" ht="17.25" customHeight="1" x14ac:dyDescent="0.2">
      <c r="E757" s="15"/>
      <c r="F757" s="15"/>
    </row>
    <row r="758" spans="5:6" ht="17.25" customHeight="1" x14ac:dyDescent="0.2">
      <c r="E758" s="15"/>
      <c r="F758" s="15"/>
    </row>
    <row r="759" spans="5:6" ht="17.25" customHeight="1" x14ac:dyDescent="0.2">
      <c r="E759" s="15"/>
      <c r="F759" s="15"/>
    </row>
    <row r="760" spans="5:6" ht="17.25" customHeight="1" x14ac:dyDescent="0.2">
      <c r="E760" s="15"/>
      <c r="F760" s="15"/>
    </row>
    <row r="761" spans="5:6" ht="17.25" customHeight="1" x14ac:dyDescent="0.2">
      <c r="E761" s="15"/>
      <c r="F761" s="15"/>
    </row>
    <row r="762" spans="5:6" ht="17.25" customHeight="1" x14ac:dyDescent="0.2">
      <c r="E762" s="15"/>
      <c r="F762" s="15"/>
    </row>
    <row r="763" spans="5:6" ht="17.25" customHeight="1" x14ac:dyDescent="0.2">
      <c r="E763" s="15"/>
      <c r="F763" s="15"/>
    </row>
    <row r="764" spans="5:6" ht="17.25" customHeight="1" x14ac:dyDescent="0.2">
      <c r="E764" s="15"/>
      <c r="F764" s="15"/>
    </row>
    <row r="765" spans="5:6" ht="17.25" customHeight="1" x14ac:dyDescent="0.2">
      <c r="E765" s="15"/>
      <c r="F765" s="15"/>
    </row>
    <row r="766" spans="5:6" ht="17.25" customHeight="1" x14ac:dyDescent="0.2">
      <c r="E766" s="15"/>
      <c r="F766" s="15"/>
    </row>
    <row r="767" spans="5:6" ht="17.25" customHeight="1" x14ac:dyDescent="0.2">
      <c r="E767" s="15"/>
      <c r="F767" s="15"/>
    </row>
    <row r="768" spans="5:6" ht="17.25" customHeight="1" x14ac:dyDescent="0.2">
      <c r="E768" s="15"/>
      <c r="F768" s="15"/>
    </row>
    <row r="769" spans="5:6" ht="17.25" customHeight="1" x14ac:dyDescent="0.2">
      <c r="E769" s="15"/>
      <c r="F769" s="15"/>
    </row>
    <row r="770" spans="5:6" ht="17.25" customHeight="1" x14ac:dyDescent="0.2">
      <c r="E770" s="15"/>
      <c r="F770" s="15"/>
    </row>
    <row r="771" spans="5:6" ht="17.25" customHeight="1" x14ac:dyDescent="0.2">
      <c r="E771" s="15"/>
      <c r="F771" s="15"/>
    </row>
    <row r="772" spans="5:6" ht="17.25" customHeight="1" x14ac:dyDescent="0.2">
      <c r="E772" s="15"/>
      <c r="F772" s="15"/>
    </row>
    <row r="773" spans="5:6" ht="17.25" customHeight="1" x14ac:dyDescent="0.2">
      <c r="E773" s="15"/>
      <c r="F773" s="15"/>
    </row>
    <row r="774" spans="5:6" ht="17.25" customHeight="1" x14ac:dyDescent="0.2">
      <c r="E774" s="15"/>
      <c r="F774" s="15"/>
    </row>
    <row r="775" spans="5:6" ht="17.25" customHeight="1" x14ac:dyDescent="0.2">
      <c r="E775" s="15"/>
      <c r="F775" s="15"/>
    </row>
    <row r="776" spans="5:6" ht="17.25" customHeight="1" x14ac:dyDescent="0.2">
      <c r="E776" s="15"/>
      <c r="F776" s="15"/>
    </row>
    <row r="777" spans="5:6" ht="17.25" customHeight="1" x14ac:dyDescent="0.2">
      <c r="E777" s="15"/>
      <c r="F777" s="15"/>
    </row>
    <row r="778" spans="5:6" ht="17.25" customHeight="1" x14ac:dyDescent="0.2">
      <c r="E778" s="15"/>
      <c r="F778" s="15"/>
    </row>
    <row r="779" spans="5:6" ht="17.25" customHeight="1" x14ac:dyDescent="0.2">
      <c r="E779" s="15"/>
      <c r="F779" s="15"/>
    </row>
    <row r="780" spans="5:6" ht="17.25" customHeight="1" x14ac:dyDescent="0.2">
      <c r="E780" s="15"/>
      <c r="F780" s="15"/>
    </row>
    <row r="781" spans="5:6" ht="17.25" customHeight="1" x14ac:dyDescent="0.2">
      <c r="E781" s="15"/>
      <c r="F781" s="15"/>
    </row>
    <row r="782" spans="5:6" ht="17.25" customHeight="1" x14ac:dyDescent="0.2">
      <c r="E782" s="15"/>
      <c r="F782" s="15"/>
    </row>
    <row r="783" spans="5:6" ht="17.25" customHeight="1" x14ac:dyDescent="0.2">
      <c r="E783" s="15"/>
      <c r="F783" s="15"/>
    </row>
    <row r="784" spans="5:6" ht="17.25" customHeight="1" x14ac:dyDescent="0.2">
      <c r="E784" s="15"/>
      <c r="F784" s="15"/>
    </row>
    <row r="785" spans="5:6" ht="17.25" customHeight="1" x14ac:dyDescent="0.2">
      <c r="E785" s="15"/>
      <c r="F785" s="15"/>
    </row>
    <row r="786" spans="5:6" ht="17.25" customHeight="1" x14ac:dyDescent="0.2">
      <c r="E786" s="15"/>
      <c r="F786" s="15"/>
    </row>
    <row r="787" spans="5:6" ht="17.25" customHeight="1" x14ac:dyDescent="0.2">
      <c r="E787" s="15"/>
      <c r="F787" s="15"/>
    </row>
    <row r="788" spans="5:6" ht="17.25" customHeight="1" x14ac:dyDescent="0.2">
      <c r="E788" s="15"/>
      <c r="F788" s="15"/>
    </row>
    <row r="789" spans="5:6" ht="17.25" customHeight="1" x14ac:dyDescent="0.2">
      <c r="E789" s="15"/>
      <c r="F789" s="15"/>
    </row>
    <row r="790" spans="5:6" ht="17.25" customHeight="1" x14ac:dyDescent="0.2">
      <c r="E790" s="15"/>
      <c r="F790" s="15"/>
    </row>
    <row r="791" spans="5:6" ht="17.25" customHeight="1" x14ac:dyDescent="0.2">
      <c r="E791" s="15"/>
      <c r="F791" s="15"/>
    </row>
    <row r="792" spans="5:6" ht="17.25" customHeight="1" x14ac:dyDescent="0.2">
      <c r="E792" s="15"/>
      <c r="F792" s="15"/>
    </row>
    <row r="793" spans="5:6" ht="17.25" customHeight="1" x14ac:dyDescent="0.2">
      <c r="E793" s="15"/>
      <c r="F793" s="15"/>
    </row>
    <row r="794" spans="5:6" ht="17.25" customHeight="1" x14ac:dyDescent="0.2">
      <c r="E794" s="15"/>
      <c r="F794" s="15"/>
    </row>
    <row r="795" spans="5:6" ht="17.25" customHeight="1" x14ac:dyDescent="0.2">
      <c r="E795" s="15"/>
      <c r="F795" s="15"/>
    </row>
    <row r="796" spans="5:6" ht="17.25" customHeight="1" x14ac:dyDescent="0.2">
      <c r="E796" s="15"/>
      <c r="F796" s="15"/>
    </row>
    <row r="797" spans="5:6" ht="17.25" customHeight="1" x14ac:dyDescent="0.2">
      <c r="E797" s="15"/>
      <c r="F797" s="15"/>
    </row>
    <row r="798" spans="5:6" ht="17.25" customHeight="1" x14ac:dyDescent="0.2">
      <c r="E798" s="15"/>
      <c r="F798" s="15"/>
    </row>
    <row r="799" spans="5:6" ht="17.25" customHeight="1" x14ac:dyDescent="0.2">
      <c r="E799" s="15"/>
      <c r="F799" s="15"/>
    </row>
    <row r="800" spans="5:6" ht="17.25" customHeight="1" x14ac:dyDescent="0.2">
      <c r="E800" s="15"/>
      <c r="F800" s="15"/>
    </row>
    <row r="801" spans="5:6" ht="17.25" customHeight="1" x14ac:dyDescent="0.2">
      <c r="E801" s="15"/>
      <c r="F801" s="15"/>
    </row>
    <row r="802" spans="5:6" ht="17.25" customHeight="1" x14ac:dyDescent="0.2">
      <c r="E802" s="15"/>
      <c r="F802" s="15"/>
    </row>
    <row r="803" spans="5:6" ht="17.25" customHeight="1" x14ac:dyDescent="0.2">
      <c r="E803" s="15"/>
      <c r="F803" s="15"/>
    </row>
    <row r="804" spans="5:6" ht="17.25" customHeight="1" x14ac:dyDescent="0.2">
      <c r="E804" s="15"/>
      <c r="F804" s="15"/>
    </row>
    <row r="805" spans="5:6" ht="17.25" customHeight="1" x14ac:dyDescent="0.2">
      <c r="E805" s="15"/>
      <c r="F805" s="15"/>
    </row>
    <row r="806" spans="5:6" ht="17.25" customHeight="1" x14ac:dyDescent="0.2">
      <c r="E806" s="15"/>
      <c r="F806" s="15"/>
    </row>
    <row r="807" spans="5:6" ht="17.25" customHeight="1" x14ac:dyDescent="0.2">
      <c r="E807" s="15"/>
      <c r="F807" s="15"/>
    </row>
    <row r="808" spans="5:6" ht="17.25" customHeight="1" x14ac:dyDescent="0.2">
      <c r="E808" s="15"/>
      <c r="F808" s="15"/>
    </row>
    <row r="809" spans="5:6" ht="17.25" customHeight="1" x14ac:dyDescent="0.2">
      <c r="E809" s="15"/>
      <c r="F809" s="15"/>
    </row>
    <row r="810" spans="5:6" ht="17.25" customHeight="1" x14ac:dyDescent="0.2">
      <c r="E810" s="15"/>
      <c r="F810" s="15"/>
    </row>
    <row r="811" spans="5:6" ht="17.25" customHeight="1" x14ac:dyDescent="0.2">
      <c r="E811" s="15"/>
      <c r="F811" s="15"/>
    </row>
    <row r="812" spans="5:6" ht="17.25" customHeight="1" x14ac:dyDescent="0.2">
      <c r="E812" s="15"/>
      <c r="F812" s="15"/>
    </row>
    <row r="813" spans="5:6" ht="17.25" customHeight="1" x14ac:dyDescent="0.2">
      <c r="E813" s="15"/>
      <c r="F813" s="15"/>
    </row>
    <row r="814" spans="5:6" ht="17.25" customHeight="1" x14ac:dyDescent="0.2">
      <c r="E814" s="15"/>
      <c r="F814" s="15"/>
    </row>
    <row r="815" spans="5:6" ht="17.25" customHeight="1" x14ac:dyDescent="0.2">
      <c r="E815" s="15"/>
      <c r="F815" s="15"/>
    </row>
    <row r="816" spans="5:6" ht="17.25" customHeight="1" x14ac:dyDescent="0.2">
      <c r="E816" s="15"/>
      <c r="F816" s="15"/>
    </row>
    <row r="817" spans="5:6" ht="17.25" customHeight="1" x14ac:dyDescent="0.2">
      <c r="E817" s="15"/>
      <c r="F817" s="15"/>
    </row>
    <row r="818" spans="5:6" ht="17.25" customHeight="1" x14ac:dyDescent="0.2">
      <c r="E818" s="15"/>
      <c r="F818" s="15"/>
    </row>
    <row r="819" spans="5:6" ht="17.25" customHeight="1" x14ac:dyDescent="0.2">
      <c r="E819" s="15"/>
      <c r="F819" s="15"/>
    </row>
    <row r="820" spans="5:6" ht="17.25" customHeight="1" x14ac:dyDescent="0.2">
      <c r="E820" s="15"/>
      <c r="F820" s="15"/>
    </row>
    <row r="821" spans="5:6" ht="17.25" customHeight="1" x14ac:dyDescent="0.2">
      <c r="E821" s="15"/>
      <c r="F821" s="15"/>
    </row>
    <row r="822" spans="5:6" ht="17.25" customHeight="1" x14ac:dyDescent="0.2">
      <c r="E822" s="15"/>
      <c r="F822" s="15"/>
    </row>
    <row r="823" spans="5:6" ht="17.25" customHeight="1" x14ac:dyDescent="0.2">
      <c r="E823" s="15"/>
      <c r="F823" s="15"/>
    </row>
    <row r="824" spans="5:6" ht="17.25" customHeight="1" x14ac:dyDescent="0.2">
      <c r="E824" s="15"/>
      <c r="F824" s="15"/>
    </row>
    <row r="825" spans="5:6" ht="17.25" customHeight="1" x14ac:dyDescent="0.2">
      <c r="E825" s="15"/>
      <c r="F825" s="15"/>
    </row>
    <row r="826" spans="5:6" ht="17.25" customHeight="1" x14ac:dyDescent="0.2">
      <c r="E826" s="15"/>
      <c r="F826" s="15"/>
    </row>
    <row r="827" spans="5:6" ht="17.25" customHeight="1" x14ac:dyDescent="0.2">
      <c r="E827" s="15"/>
      <c r="F827" s="15"/>
    </row>
    <row r="828" spans="5:6" ht="17.25" customHeight="1" x14ac:dyDescent="0.2">
      <c r="E828" s="15"/>
      <c r="F828" s="15"/>
    </row>
    <row r="829" spans="5:6" ht="17.25" customHeight="1" x14ac:dyDescent="0.2">
      <c r="E829" s="15"/>
      <c r="F829" s="15"/>
    </row>
    <row r="830" spans="5:6" ht="17.25" customHeight="1" x14ac:dyDescent="0.2">
      <c r="E830" s="15"/>
      <c r="F830" s="15"/>
    </row>
    <row r="831" spans="5:6" ht="17.25" customHeight="1" x14ac:dyDescent="0.2">
      <c r="E831" s="15"/>
      <c r="F831" s="15"/>
    </row>
    <row r="832" spans="5:6" ht="17.25" customHeight="1" x14ac:dyDescent="0.2">
      <c r="E832" s="15"/>
      <c r="F832" s="15"/>
    </row>
    <row r="833" spans="5:6" ht="17.25" customHeight="1" x14ac:dyDescent="0.2">
      <c r="E833" s="15"/>
      <c r="F833" s="15"/>
    </row>
    <row r="834" spans="5:6" ht="17.25" customHeight="1" x14ac:dyDescent="0.2">
      <c r="E834" s="15"/>
      <c r="F834" s="15"/>
    </row>
    <row r="835" spans="5:6" ht="17.25" customHeight="1" x14ac:dyDescent="0.2">
      <c r="E835" s="15"/>
      <c r="F835" s="15"/>
    </row>
    <row r="836" spans="5:6" ht="17.25" customHeight="1" x14ac:dyDescent="0.2">
      <c r="E836" s="15"/>
      <c r="F836" s="15"/>
    </row>
    <row r="837" spans="5:6" ht="17.25" customHeight="1" x14ac:dyDescent="0.2">
      <c r="E837" s="15"/>
      <c r="F837" s="15"/>
    </row>
    <row r="838" spans="5:6" ht="17.25" customHeight="1" x14ac:dyDescent="0.2">
      <c r="E838" s="15"/>
      <c r="F838" s="15"/>
    </row>
    <row r="839" spans="5:6" ht="17.25" customHeight="1" x14ac:dyDescent="0.2">
      <c r="E839" s="15"/>
      <c r="F839" s="15"/>
    </row>
    <row r="840" spans="5:6" ht="17.25" customHeight="1" x14ac:dyDescent="0.2">
      <c r="E840" s="15"/>
      <c r="F840" s="15"/>
    </row>
    <row r="841" spans="5:6" ht="17.25" customHeight="1" x14ac:dyDescent="0.2">
      <c r="E841" s="15"/>
      <c r="F841" s="15"/>
    </row>
    <row r="842" spans="5:6" ht="17.25" customHeight="1" x14ac:dyDescent="0.2">
      <c r="E842" s="15"/>
      <c r="F842" s="15"/>
    </row>
    <row r="843" spans="5:6" ht="17.25" customHeight="1" x14ac:dyDescent="0.2">
      <c r="E843" s="15"/>
      <c r="F843" s="15"/>
    </row>
    <row r="844" spans="5:6" ht="17.25" customHeight="1" x14ac:dyDescent="0.2">
      <c r="E844" s="15"/>
      <c r="F844" s="15"/>
    </row>
    <row r="845" spans="5:6" ht="17.25" customHeight="1" x14ac:dyDescent="0.2">
      <c r="E845" s="15"/>
      <c r="F845" s="15"/>
    </row>
    <row r="846" spans="5:6" ht="17.25" customHeight="1" x14ac:dyDescent="0.2">
      <c r="E846" s="15"/>
      <c r="F846" s="15"/>
    </row>
    <row r="847" spans="5:6" ht="17.25" customHeight="1" x14ac:dyDescent="0.2">
      <c r="E847" s="15"/>
      <c r="F847" s="15"/>
    </row>
    <row r="848" spans="5:6" ht="17.25" customHeight="1" x14ac:dyDescent="0.2">
      <c r="E848" s="15"/>
      <c r="F848" s="15"/>
    </row>
    <row r="849" spans="5:6" ht="17.25" customHeight="1" x14ac:dyDescent="0.2">
      <c r="E849" s="15"/>
      <c r="F849" s="15"/>
    </row>
    <row r="850" spans="5:6" ht="17.25" customHeight="1" x14ac:dyDescent="0.2">
      <c r="E850" s="15"/>
      <c r="F850" s="15"/>
    </row>
    <row r="851" spans="5:6" ht="17.25" customHeight="1" x14ac:dyDescent="0.2">
      <c r="E851" s="15"/>
      <c r="F851" s="15"/>
    </row>
    <row r="852" spans="5:6" ht="17.25" customHeight="1" x14ac:dyDescent="0.2">
      <c r="E852" s="15"/>
      <c r="F852" s="15"/>
    </row>
    <row r="853" spans="5:6" ht="17.25" customHeight="1" x14ac:dyDescent="0.2">
      <c r="E853" s="15"/>
      <c r="F853" s="15"/>
    </row>
    <row r="854" spans="5:6" ht="17.25" customHeight="1" x14ac:dyDescent="0.2">
      <c r="E854" s="15"/>
      <c r="F854" s="15"/>
    </row>
    <row r="855" spans="5:6" ht="17.25" customHeight="1" x14ac:dyDescent="0.2">
      <c r="E855" s="15"/>
      <c r="F855" s="15"/>
    </row>
    <row r="856" spans="5:6" ht="17.25" customHeight="1" x14ac:dyDescent="0.2">
      <c r="E856" s="15"/>
      <c r="F856" s="15"/>
    </row>
    <row r="857" spans="5:6" ht="17.25" customHeight="1" x14ac:dyDescent="0.2">
      <c r="E857" s="15"/>
      <c r="F857" s="15"/>
    </row>
    <row r="858" spans="5:6" ht="17.25" customHeight="1" x14ac:dyDescent="0.2">
      <c r="E858" s="15"/>
      <c r="F858" s="15"/>
    </row>
    <row r="859" spans="5:6" ht="17.25" customHeight="1" x14ac:dyDescent="0.2">
      <c r="E859" s="15"/>
      <c r="F859" s="15"/>
    </row>
    <row r="860" spans="5:6" ht="17.25" customHeight="1" x14ac:dyDescent="0.2">
      <c r="E860" s="15"/>
      <c r="F860" s="15"/>
    </row>
    <row r="861" spans="5:6" ht="17.25" customHeight="1" x14ac:dyDescent="0.2">
      <c r="E861" s="15"/>
      <c r="F861" s="15"/>
    </row>
    <row r="862" spans="5:6" ht="17.25" customHeight="1" x14ac:dyDescent="0.2">
      <c r="E862" s="15"/>
      <c r="F862" s="15"/>
    </row>
    <row r="863" spans="5:6" ht="17.25" customHeight="1" x14ac:dyDescent="0.2">
      <c r="E863" s="15"/>
      <c r="F863" s="15"/>
    </row>
    <row r="864" spans="5:6" ht="17.25" customHeight="1" x14ac:dyDescent="0.2">
      <c r="E864" s="15"/>
      <c r="F864" s="15"/>
    </row>
    <row r="865" spans="5:6" ht="17.25" customHeight="1" x14ac:dyDescent="0.2">
      <c r="E865" s="15"/>
      <c r="F865" s="15"/>
    </row>
    <row r="866" spans="5:6" ht="17.25" customHeight="1" x14ac:dyDescent="0.2">
      <c r="E866" s="15"/>
      <c r="F866" s="15"/>
    </row>
    <row r="867" spans="5:6" ht="17.25" customHeight="1" x14ac:dyDescent="0.2">
      <c r="E867" s="15"/>
      <c r="F867" s="15"/>
    </row>
    <row r="868" spans="5:6" ht="17.25" customHeight="1" x14ac:dyDescent="0.2">
      <c r="E868" s="15"/>
      <c r="F868" s="15"/>
    </row>
    <row r="869" spans="5:6" ht="17.25" customHeight="1" x14ac:dyDescent="0.2">
      <c r="E869" s="15"/>
      <c r="F869" s="15"/>
    </row>
    <row r="870" spans="5:6" ht="17.25" customHeight="1" x14ac:dyDescent="0.2">
      <c r="E870" s="15"/>
      <c r="F870" s="15"/>
    </row>
    <row r="871" spans="5:6" ht="17.25" customHeight="1" x14ac:dyDescent="0.2">
      <c r="E871" s="15"/>
      <c r="F871" s="15"/>
    </row>
    <row r="872" spans="5:6" ht="17.25" customHeight="1" x14ac:dyDescent="0.2">
      <c r="E872" s="15"/>
      <c r="F872" s="15"/>
    </row>
    <row r="873" spans="5:6" ht="17.25" customHeight="1" x14ac:dyDescent="0.2">
      <c r="E873" s="15"/>
      <c r="F873" s="15"/>
    </row>
    <row r="874" spans="5:6" ht="17.25" customHeight="1" x14ac:dyDescent="0.2">
      <c r="E874" s="15"/>
      <c r="F874" s="15"/>
    </row>
    <row r="875" spans="5:6" ht="17.25" customHeight="1" x14ac:dyDescent="0.2">
      <c r="E875" s="15"/>
      <c r="F875" s="15"/>
    </row>
    <row r="876" spans="5:6" ht="17.25" customHeight="1" x14ac:dyDescent="0.2">
      <c r="E876" s="15"/>
      <c r="F876" s="15"/>
    </row>
    <row r="877" spans="5:6" ht="17.25" customHeight="1" x14ac:dyDescent="0.2">
      <c r="E877" s="15"/>
      <c r="F877" s="15"/>
    </row>
    <row r="878" spans="5:6" ht="17.25" customHeight="1" x14ac:dyDescent="0.2">
      <c r="E878" s="15"/>
      <c r="F878" s="15"/>
    </row>
    <row r="879" spans="5:6" ht="17.25" customHeight="1" x14ac:dyDescent="0.2">
      <c r="E879" s="15"/>
      <c r="F879" s="15"/>
    </row>
    <row r="880" spans="5:6" ht="17.25" customHeight="1" x14ac:dyDescent="0.2">
      <c r="E880" s="15"/>
      <c r="F880" s="15"/>
    </row>
    <row r="881" spans="5:6" ht="17.25" customHeight="1" x14ac:dyDescent="0.2">
      <c r="E881" s="15"/>
      <c r="F881" s="15"/>
    </row>
    <row r="882" spans="5:6" ht="17.25" customHeight="1" x14ac:dyDescent="0.2">
      <c r="E882" s="15"/>
      <c r="F882" s="15"/>
    </row>
    <row r="883" spans="5:6" ht="17.25" customHeight="1" x14ac:dyDescent="0.2">
      <c r="E883" s="15"/>
      <c r="F883" s="15"/>
    </row>
    <row r="884" spans="5:6" ht="17.25" customHeight="1" x14ac:dyDescent="0.2">
      <c r="E884" s="15"/>
      <c r="F884" s="15"/>
    </row>
    <row r="885" spans="5:6" ht="17.25" customHeight="1" x14ac:dyDescent="0.2">
      <c r="E885" s="15"/>
      <c r="F885" s="15"/>
    </row>
    <row r="886" spans="5:6" ht="17.25" customHeight="1" x14ac:dyDescent="0.2">
      <c r="E886" s="15"/>
      <c r="F886" s="15"/>
    </row>
    <row r="887" spans="5:6" ht="17.25" customHeight="1" x14ac:dyDescent="0.2">
      <c r="E887" s="15"/>
      <c r="F887" s="15"/>
    </row>
    <row r="888" spans="5:6" ht="17.25" customHeight="1" x14ac:dyDescent="0.2">
      <c r="E888" s="15"/>
      <c r="F888" s="15"/>
    </row>
    <row r="889" spans="5:6" ht="17.25" customHeight="1" x14ac:dyDescent="0.2">
      <c r="E889" s="15"/>
      <c r="F889" s="15"/>
    </row>
    <row r="890" spans="5:6" ht="17.25" customHeight="1" x14ac:dyDescent="0.2">
      <c r="E890" s="15"/>
      <c r="F890" s="15"/>
    </row>
    <row r="891" spans="5:6" ht="17.25" customHeight="1" x14ac:dyDescent="0.2">
      <c r="E891" s="15"/>
      <c r="F891" s="15"/>
    </row>
    <row r="892" spans="5:6" ht="17.25" customHeight="1" x14ac:dyDescent="0.2">
      <c r="E892" s="15"/>
      <c r="F892" s="15"/>
    </row>
    <row r="893" spans="5:6" ht="17.25" customHeight="1" x14ac:dyDescent="0.2">
      <c r="E893" s="15"/>
      <c r="F893" s="15"/>
    </row>
    <row r="894" spans="5:6" ht="17.25" customHeight="1" x14ac:dyDescent="0.2">
      <c r="E894" s="15"/>
      <c r="F894" s="15"/>
    </row>
    <row r="895" spans="5:6" ht="17.25" customHeight="1" x14ac:dyDescent="0.2">
      <c r="E895" s="15"/>
      <c r="F895" s="15"/>
    </row>
    <row r="896" spans="5:6" ht="17.25" customHeight="1" x14ac:dyDescent="0.2">
      <c r="E896" s="15"/>
      <c r="F896" s="15"/>
    </row>
    <row r="897" spans="5:6" ht="17.25" customHeight="1" x14ac:dyDescent="0.2">
      <c r="E897" s="15"/>
      <c r="F897" s="15"/>
    </row>
    <row r="898" spans="5:6" ht="17.25" customHeight="1" x14ac:dyDescent="0.2">
      <c r="E898" s="15"/>
      <c r="F898" s="15"/>
    </row>
    <row r="899" spans="5:6" ht="17.25" customHeight="1" x14ac:dyDescent="0.2">
      <c r="E899" s="15"/>
      <c r="F899" s="15"/>
    </row>
    <row r="900" spans="5:6" ht="17.25" customHeight="1" x14ac:dyDescent="0.2">
      <c r="E900" s="15"/>
      <c r="F900" s="15"/>
    </row>
    <row r="901" spans="5:6" ht="17.25" customHeight="1" x14ac:dyDescent="0.2">
      <c r="E901" s="15"/>
      <c r="F901" s="15"/>
    </row>
    <row r="902" spans="5:6" ht="17.25" customHeight="1" x14ac:dyDescent="0.2">
      <c r="E902" s="15"/>
      <c r="F902" s="15"/>
    </row>
    <row r="903" spans="5:6" ht="17.25" customHeight="1" x14ac:dyDescent="0.2">
      <c r="E903" s="15"/>
      <c r="F903" s="15"/>
    </row>
    <row r="904" spans="5:6" ht="17.25" customHeight="1" x14ac:dyDescent="0.2">
      <c r="E904" s="15"/>
      <c r="F904" s="15"/>
    </row>
    <row r="905" spans="5:6" ht="17.25" customHeight="1" x14ac:dyDescent="0.2">
      <c r="E905" s="15"/>
      <c r="F905" s="15"/>
    </row>
    <row r="906" spans="5:6" ht="17.25" customHeight="1" x14ac:dyDescent="0.2">
      <c r="E906" s="15"/>
      <c r="F906" s="15"/>
    </row>
    <row r="907" spans="5:6" ht="17.25" customHeight="1" x14ac:dyDescent="0.2">
      <c r="E907" s="15"/>
      <c r="F907" s="15"/>
    </row>
    <row r="908" spans="5:6" ht="17.25" customHeight="1" x14ac:dyDescent="0.2">
      <c r="E908" s="15"/>
      <c r="F908" s="15"/>
    </row>
    <row r="909" spans="5:6" ht="17.25" customHeight="1" x14ac:dyDescent="0.2">
      <c r="E909" s="15"/>
      <c r="F909" s="15"/>
    </row>
    <row r="910" spans="5:6" ht="17.25" customHeight="1" x14ac:dyDescent="0.2">
      <c r="E910" s="15"/>
      <c r="F910" s="15"/>
    </row>
    <row r="911" spans="5:6" ht="17.25" customHeight="1" x14ac:dyDescent="0.2">
      <c r="E911" s="15"/>
      <c r="F911" s="15"/>
    </row>
    <row r="912" spans="5:6" ht="17.25" customHeight="1" x14ac:dyDescent="0.2">
      <c r="E912" s="15"/>
      <c r="F912" s="15"/>
    </row>
    <row r="913" spans="5:6" ht="17.25" customHeight="1" x14ac:dyDescent="0.2">
      <c r="E913" s="15"/>
      <c r="F913" s="15"/>
    </row>
    <row r="914" spans="5:6" ht="17.25" customHeight="1" x14ac:dyDescent="0.2">
      <c r="E914" s="15"/>
      <c r="F914" s="15"/>
    </row>
    <row r="915" spans="5:6" ht="17.25" customHeight="1" x14ac:dyDescent="0.2">
      <c r="E915" s="15"/>
      <c r="F915" s="15"/>
    </row>
    <row r="916" spans="5:6" ht="17.25" customHeight="1" x14ac:dyDescent="0.2">
      <c r="E916" s="15"/>
      <c r="F916" s="15"/>
    </row>
    <row r="917" spans="5:6" ht="17.25" customHeight="1" x14ac:dyDescent="0.2">
      <c r="E917" s="15"/>
      <c r="F917" s="15"/>
    </row>
    <row r="918" spans="5:6" ht="17.25" customHeight="1" x14ac:dyDescent="0.2">
      <c r="E918" s="15"/>
      <c r="F918" s="15"/>
    </row>
    <row r="919" spans="5:6" ht="17.25" customHeight="1" x14ac:dyDescent="0.2">
      <c r="E919" s="15"/>
      <c r="F919" s="15"/>
    </row>
    <row r="920" spans="5:6" ht="17.25" customHeight="1" x14ac:dyDescent="0.2">
      <c r="E920" s="15"/>
      <c r="F920" s="15"/>
    </row>
    <row r="921" spans="5:6" ht="17.25" customHeight="1" x14ac:dyDescent="0.2">
      <c r="E921" s="15"/>
      <c r="F921" s="15"/>
    </row>
    <row r="922" spans="5:6" ht="17.25" customHeight="1" x14ac:dyDescent="0.2">
      <c r="E922" s="15"/>
      <c r="F922" s="15"/>
    </row>
    <row r="923" spans="5:6" ht="17.25" customHeight="1" x14ac:dyDescent="0.2">
      <c r="E923" s="15"/>
      <c r="F923" s="15"/>
    </row>
    <row r="924" spans="5:6" ht="17.25" customHeight="1" x14ac:dyDescent="0.2">
      <c r="E924" s="15"/>
      <c r="F924" s="15"/>
    </row>
    <row r="925" spans="5:6" ht="17.25" customHeight="1" x14ac:dyDescent="0.2">
      <c r="E925" s="15"/>
      <c r="F925" s="15"/>
    </row>
    <row r="926" spans="5:6" ht="17.25" customHeight="1" x14ac:dyDescent="0.2">
      <c r="E926" s="15"/>
      <c r="F926" s="15"/>
    </row>
    <row r="927" spans="5:6" ht="17.25" customHeight="1" x14ac:dyDescent="0.2">
      <c r="E927" s="15"/>
      <c r="F927" s="15"/>
    </row>
    <row r="928" spans="5:6" ht="17.25" customHeight="1" x14ac:dyDescent="0.2">
      <c r="E928" s="15"/>
      <c r="F928" s="15"/>
    </row>
    <row r="929" spans="5:6" ht="17.25" customHeight="1" x14ac:dyDescent="0.2">
      <c r="E929" s="15"/>
      <c r="F929" s="15"/>
    </row>
    <row r="930" spans="5:6" ht="17.25" customHeight="1" x14ac:dyDescent="0.2">
      <c r="E930" s="15"/>
      <c r="F930" s="15"/>
    </row>
    <row r="931" spans="5:6" ht="17.25" customHeight="1" x14ac:dyDescent="0.2">
      <c r="E931" s="15"/>
      <c r="F931" s="15"/>
    </row>
    <row r="932" spans="5:6" ht="17.25" customHeight="1" x14ac:dyDescent="0.2">
      <c r="E932" s="15"/>
      <c r="F932" s="15"/>
    </row>
    <row r="933" spans="5:6" ht="17.25" customHeight="1" x14ac:dyDescent="0.2">
      <c r="E933" s="15"/>
      <c r="F933" s="15"/>
    </row>
    <row r="934" spans="5:6" ht="17.25" customHeight="1" x14ac:dyDescent="0.2">
      <c r="E934" s="15"/>
      <c r="F934" s="15"/>
    </row>
    <row r="935" spans="5:6" ht="17.25" customHeight="1" x14ac:dyDescent="0.2">
      <c r="E935" s="15"/>
      <c r="F935" s="15"/>
    </row>
    <row r="936" spans="5:6" ht="17.25" customHeight="1" x14ac:dyDescent="0.2">
      <c r="E936" s="15"/>
      <c r="F936" s="15"/>
    </row>
    <row r="937" spans="5:6" ht="17.25" customHeight="1" x14ac:dyDescent="0.2">
      <c r="E937" s="15"/>
      <c r="F937" s="15"/>
    </row>
    <row r="938" spans="5:6" ht="17.25" customHeight="1" x14ac:dyDescent="0.2">
      <c r="E938" s="15"/>
      <c r="F938" s="15"/>
    </row>
    <row r="939" spans="5:6" ht="17.25" customHeight="1" x14ac:dyDescent="0.2">
      <c r="E939" s="15"/>
      <c r="F939" s="15"/>
    </row>
    <row r="940" spans="5:6" ht="17.25" customHeight="1" x14ac:dyDescent="0.2">
      <c r="E940" s="15"/>
      <c r="F940" s="15"/>
    </row>
    <row r="941" spans="5:6" ht="17.25" customHeight="1" x14ac:dyDescent="0.2">
      <c r="E941" s="15"/>
      <c r="F941" s="15"/>
    </row>
    <row r="942" spans="5:6" ht="17.25" customHeight="1" x14ac:dyDescent="0.2">
      <c r="E942" s="15"/>
      <c r="F942" s="15"/>
    </row>
    <row r="943" spans="5:6" ht="17.25" customHeight="1" x14ac:dyDescent="0.2">
      <c r="E943" s="15"/>
      <c r="F943" s="15"/>
    </row>
    <row r="944" spans="5:6" ht="17.25" customHeight="1" x14ac:dyDescent="0.2">
      <c r="E944" s="15"/>
      <c r="F944" s="15"/>
    </row>
    <row r="945" spans="5:6" ht="17.25" customHeight="1" x14ac:dyDescent="0.2">
      <c r="E945" s="15"/>
      <c r="F945" s="15"/>
    </row>
    <row r="946" spans="5:6" ht="17.25" customHeight="1" x14ac:dyDescent="0.2">
      <c r="E946" s="15"/>
      <c r="F946" s="15"/>
    </row>
    <row r="947" spans="5:6" ht="17.25" customHeight="1" x14ac:dyDescent="0.2">
      <c r="E947" s="15"/>
      <c r="F947" s="15"/>
    </row>
    <row r="948" spans="5:6" ht="17.25" customHeight="1" x14ac:dyDescent="0.2">
      <c r="E948" s="15"/>
      <c r="F948" s="15"/>
    </row>
    <row r="949" spans="5:6" ht="17.25" customHeight="1" x14ac:dyDescent="0.2">
      <c r="E949" s="15"/>
      <c r="F949" s="15"/>
    </row>
    <row r="950" spans="5:6" ht="17.25" customHeight="1" x14ac:dyDescent="0.2">
      <c r="E950" s="15"/>
      <c r="F950" s="15"/>
    </row>
    <row r="951" spans="5:6" ht="17.25" customHeight="1" x14ac:dyDescent="0.2">
      <c r="E951" s="15"/>
      <c r="F951" s="15"/>
    </row>
    <row r="952" spans="5:6" ht="17.25" customHeight="1" x14ac:dyDescent="0.2">
      <c r="E952" s="15"/>
      <c r="F952" s="15"/>
    </row>
    <row r="953" spans="5:6" ht="17.25" customHeight="1" x14ac:dyDescent="0.2">
      <c r="E953" s="15"/>
      <c r="F953" s="15"/>
    </row>
    <row r="954" spans="5:6" ht="17.25" customHeight="1" x14ac:dyDescent="0.2">
      <c r="E954" s="15"/>
      <c r="F954" s="15"/>
    </row>
    <row r="955" spans="5:6" ht="17.25" customHeight="1" x14ac:dyDescent="0.2">
      <c r="E955" s="15"/>
      <c r="F955" s="15"/>
    </row>
    <row r="956" spans="5:6" ht="17.25" customHeight="1" x14ac:dyDescent="0.2">
      <c r="E956" s="15"/>
      <c r="F956" s="15"/>
    </row>
    <row r="957" spans="5:6" ht="17.25" customHeight="1" x14ac:dyDescent="0.2">
      <c r="E957" s="15"/>
      <c r="F957" s="15"/>
    </row>
    <row r="958" spans="5:6" ht="17.25" customHeight="1" x14ac:dyDescent="0.2">
      <c r="E958" s="15"/>
      <c r="F958" s="15"/>
    </row>
    <row r="959" spans="5:6" ht="17.25" customHeight="1" x14ac:dyDescent="0.2">
      <c r="E959" s="15"/>
      <c r="F959" s="15"/>
    </row>
    <row r="960" spans="5:6" ht="17.25" customHeight="1" x14ac:dyDescent="0.2">
      <c r="E960" s="15"/>
      <c r="F960" s="15"/>
    </row>
    <row r="961" spans="5:6" ht="17.25" customHeight="1" x14ac:dyDescent="0.2">
      <c r="E961" s="15"/>
      <c r="F961" s="15"/>
    </row>
    <row r="962" spans="5:6" ht="17.25" customHeight="1" x14ac:dyDescent="0.2">
      <c r="E962" s="15"/>
      <c r="F962" s="15"/>
    </row>
    <row r="963" spans="5:6" ht="17.25" customHeight="1" x14ac:dyDescent="0.2">
      <c r="E963" s="15"/>
      <c r="F963" s="15"/>
    </row>
    <row r="964" spans="5:6" ht="17.25" customHeight="1" x14ac:dyDescent="0.2">
      <c r="E964" s="15"/>
      <c r="F964" s="15"/>
    </row>
    <row r="965" spans="5:6" ht="17.25" customHeight="1" x14ac:dyDescent="0.2">
      <c r="E965" s="15"/>
      <c r="F965" s="15"/>
    </row>
    <row r="966" spans="5:6" ht="17.25" customHeight="1" x14ac:dyDescent="0.2">
      <c r="E966" s="15"/>
      <c r="F966" s="15"/>
    </row>
    <row r="967" spans="5:6" ht="17.25" customHeight="1" x14ac:dyDescent="0.2">
      <c r="E967" s="15"/>
      <c r="F967" s="15"/>
    </row>
    <row r="968" spans="5:6" ht="17.25" customHeight="1" x14ac:dyDescent="0.2">
      <c r="E968" s="15"/>
      <c r="F968" s="15"/>
    </row>
    <row r="969" spans="5:6" ht="17.25" customHeight="1" x14ac:dyDescent="0.2">
      <c r="E969" s="15"/>
      <c r="F969" s="15"/>
    </row>
    <row r="970" spans="5:6" ht="17.25" customHeight="1" x14ac:dyDescent="0.2">
      <c r="E970" s="15"/>
      <c r="F970" s="15"/>
    </row>
    <row r="971" spans="5:6" ht="17.25" customHeight="1" x14ac:dyDescent="0.2">
      <c r="E971" s="15"/>
      <c r="F971" s="15"/>
    </row>
    <row r="972" spans="5:6" ht="17.25" customHeight="1" x14ac:dyDescent="0.2">
      <c r="E972" s="15"/>
      <c r="F972" s="15"/>
    </row>
    <row r="973" spans="5:6" ht="17.25" customHeight="1" x14ac:dyDescent="0.2">
      <c r="E973" s="15"/>
      <c r="F973" s="15"/>
    </row>
    <row r="974" spans="5:6" ht="17.25" customHeight="1" x14ac:dyDescent="0.2">
      <c r="E974" s="15"/>
      <c r="F974" s="15"/>
    </row>
    <row r="975" spans="5:6" ht="17.25" customHeight="1" x14ac:dyDescent="0.2">
      <c r="E975" s="15"/>
      <c r="F975" s="15"/>
    </row>
    <row r="976" spans="5:6" ht="17.25" customHeight="1" x14ac:dyDescent="0.2">
      <c r="E976" s="15"/>
      <c r="F976" s="15"/>
    </row>
    <row r="977" spans="5:6" ht="17.25" customHeight="1" x14ac:dyDescent="0.2">
      <c r="E977" s="15"/>
      <c r="F977" s="15"/>
    </row>
    <row r="978" spans="5:6" ht="17.25" customHeight="1" x14ac:dyDescent="0.2">
      <c r="E978" s="15"/>
      <c r="F978" s="15"/>
    </row>
    <row r="979" spans="5:6" ht="17.25" customHeight="1" x14ac:dyDescent="0.2">
      <c r="E979" s="15"/>
      <c r="F979" s="15"/>
    </row>
    <row r="980" spans="5:6" ht="17.25" customHeight="1" x14ac:dyDescent="0.2">
      <c r="E980" s="15"/>
      <c r="F980" s="15"/>
    </row>
    <row r="981" spans="5:6" ht="17.25" customHeight="1" x14ac:dyDescent="0.2">
      <c r="E981" s="15"/>
      <c r="F981" s="15"/>
    </row>
    <row r="982" spans="5:6" ht="17.25" customHeight="1" x14ac:dyDescent="0.2">
      <c r="E982" s="15"/>
      <c r="F982" s="15"/>
    </row>
    <row r="983" spans="5:6" ht="17.25" customHeight="1" x14ac:dyDescent="0.2">
      <c r="E983" s="15"/>
      <c r="F983" s="15"/>
    </row>
    <row r="984" spans="5:6" ht="17.25" customHeight="1" x14ac:dyDescent="0.2">
      <c r="E984" s="15"/>
      <c r="F984" s="15"/>
    </row>
    <row r="985" spans="5:6" ht="17.25" customHeight="1" x14ac:dyDescent="0.2">
      <c r="E985" s="15"/>
      <c r="F985" s="15"/>
    </row>
    <row r="986" spans="5:6" ht="17.25" customHeight="1" x14ac:dyDescent="0.2">
      <c r="E986" s="15"/>
      <c r="F986" s="15"/>
    </row>
    <row r="987" spans="5:6" ht="17.25" customHeight="1" x14ac:dyDescent="0.2">
      <c r="E987" s="15"/>
      <c r="F987" s="15"/>
    </row>
    <row r="988" spans="5:6" ht="17.25" customHeight="1" x14ac:dyDescent="0.2">
      <c r="E988" s="15"/>
      <c r="F988" s="15"/>
    </row>
    <row r="989" spans="5:6" ht="17.25" customHeight="1" x14ac:dyDescent="0.2">
      <c r="E989" s="15"/>
      <c r="F989" s="15"/>
    </row>
    <row r="990" spans="5:6" ht="17.25" customHeight="1" x14ac:dyDescent="0.2">
      <c r="E990" s="15"/>
      <c r="F990" s="15"/>
    </row>
    <row r="991" spans="5:6" ht="17.25" customHeight="1" x14ac:dyDescent="0.2">
      <c r="E991" s="15"/>
      <c r="F991" s="15"/>
    </row>
    <row r="992" spans="5:6" ht="17.25" customHeight="1" x14ac:dyDescent="0.2">
      <c r="E992" s="15"/>
      <c r="F992" s="15"/>
    </row>
    <row r="993" spans="5:6" ht="17.25" customHeight="1" x14ac:dyDescent="0.2">
      <c r="E993" s="15"/>
      <c r="F993" s="15"/>
    </row>
    <row r="994" spans="5:6" ht="17.25" customHeight="1" x14ac:dyDescent="0.2">
      <c r="E994" s="15"/>
      <c r="F994" s="15"/>
    </row>
    <row r="995" spans="5:6" ht="17.25" customHeight="1" x14ac:dyDescent="0.2">
      <c r="E995" s="15"/>
      <c r="F995" s="15"/>
    </row>
    <row r="996" spans="5:6" ht="17.25" customHeight="1" x14ac:dyDescent="0.2">
      <c r="E996" s="15"/>
      <c r="F996" s="15"/>
    </row>
    <row r="997" spans="5:6" ht="17.25" customHeight="1" x14ac:dyDescent="0.2">
      <c r="E997" s="15"/>
      <c r="F997" s="15"/>
    </row>
    <row r="998" spans="5:6" ht="17.25" customHeight="1" x14ac:dyDescent="0.2">
      <c r="E998" s="15"/>
      <c r="F998" s="15"/>
    </row>
  </sheetData>
  <autoFilter ref="A3:F4" xr:uid="{00000000-0001-0000-0000-000000000000}"/>
  <mergeCells count="12">
    <mergeCell ref="A8:A29"/>
    <mergeCell ref="A5:A7"/>
    <mergeCell ref="E3:E4"/>
    <mergeCell ref="F3:F4"/>
    <mergeCell ref="A1:W1"/>
    <mergeCell ref="C2:E2"/>
    <mergeCell ref="F2:W2"/>
    <mergeCell ref="A3:A4"/>
    <mergeCell ref="B3:B4"/>
    <mergeCell ref="G3:G4"/>
    <mergeCell ref="C3:C4"/>
    <mergeCell ref="D3:D4"/>
  </mergeCells>
  <phoneticPr fontId="1" type="noConversion"/>
  <conditionalFormatting sqref="H5:BO7 H9:BO11 H13:BO17 H19:BO20 H22:BO23 H25:BO26 H28:BO29">
    <cfRule type="expression" dxfId="3" priority="8">
      <formula>AND(AND($E5&lt;&gt;"", $F5&lt;&gt;""), AND(H$4&gt;=$E5, H$4&lt;=$F5))</formula>
    </cfRule>
  </conditionalFormatting>
  <conditionalFormatting sqref="H5:BO29">
    <cfRule type="expression" dxfId="2" priority="10">
      <formula>AND(H$4&lt;&gt;"",WEEKDAY(H$4)=1)</formula>
    </cfRule>
    <cfRule type="expression" dxfId="1" priority="12">
      <formula>AND(H$4&lt;&gt;"", WEEKDAY(H$4)=7)</formula>
    </cfRule>
  </conditionalFormatting>
  <conditionalFormatting sqref="H8:BO8 H12:BO12 H18:BO18 H21:BO21 H24:BO24 H27:BO27">
    <cfRule type="expression" dxfId="0" priority="2">
      <formula>AND(AND($E8&lt;&gt;"", $F8&lt;&gt;""), AND(H$4&gt;=$E8, H$4&lt;=$F8))</formula>
    </cfRule>
  </conditionalFormatting>
  <printOptions horizontalCentered="1"/>
  <pageMargins left="0.39370078740157499" right="0.39370078740157499" top="0.39370078740157499" bottom="0.62" header="0" footer="0"/>
  <pageSetup paperSize="9" scale="70" orientation="landscape" r:id="rId1"/>
  <headerFooter>
    <oddFooter>&amp;C&amp;P/</oddFooter>
  </headerFooter>
  <ignoredErrors>
    <ignoredError sqref="F8 F12 F24 F21 F18 F27" formula="1"/>
    <ignoredError sqref="E12 C1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D3F1-8612-465E-BB00-52644D2085CF}">
  <dimension ref="A1:B7"/>
  <sheetViews>
    <sheetView workbookViewId="0">
      <selection activeCell="E8" sqref="E8"/>
    </sheetView>
  </sheetViews>
  <sheetFormatPr defaultRowHeight="14.25" x14ac:dyDescent="0.2"/>
  <sheetData>
    <row r="1" spans="1:2" x14ac:dyDescent="0.2">
      <c r="A1" s="1" t="s">
        <v>17</v>
      </c>
      <c r="B1" s="4"/>
    </row>
    <row r="2" spans="1:2" x14ac:dyDescent="0.2">
      <c r="A2" s="3" t="s">
        <v>18</v>
      </c>
      <c r="B2" s="4"/>
    </row>
    <row r="3" spans="1:2" x14ac:dyDescent="0.2">
      <c r="A3" s="3" t="s">
        <v>19</v>
      </c>
      <c r="B3" s="4"/>
    </row>
    <row r="4" spans="1:2" x14ac:dyDescent="0.2">
      <c r="A4" s="3" t="s">
        <v>20</v>
      </c>
      <c r="B4" s="4"/>
    </row>
    <row r="5" spans="1:2" x14ac:dyDescent="0.2">
      <c r="A5" s="3" t="s">
        <v>21</v>
      </c>
      <c r="B5" s="4"/>
    </row>
    <row r="6" spans="1:2" x14ac:dyDescent="0.2">
      <c r="A6" s="3" t="s">
        <v>22</v>
      </c>
      <c r="B6" s="4"/>
    </row>
    <row r="7" spans="1:2" x14ac:dyDescent="0.2">
      <c r="A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D8D0-467C-4774-A5B6-0AA22CA7CD72}">
  <dimension ref="A1:I32"/>
  <sheetViews>
    <sheetView topLeftCell="A6" workbookViewId="0">
      <selection activeCell="C35" sqref="C35"/>
    </sheetView>
  </sheetViews>
  <sheetFormatPr defaultRowHeight="16.5" x14ac:dyDescent="0.2"/>
  <cols>
    <col min="1" max="1" width="13.5" style="5" customWidth="1"/>
    <col min="2" max="2" width="40" style="5" customWidth="1"/>
    <col min="3" max="9" width="8.75" style="5" customWidth="1"/>
    <col min="10" max="16384" width="9" style="5"/>
  </cols>
  <sheetData>
    <row r="1" spans="1:9" ht="17.25" customHeight="1" x14ac:dyDescent="0.2">
      <c r="A1" s="62" t="s">
        <v>0</v>
      </c>
      <c r="B1" s="68" t="s">
        <v>1</v>
      </c>
      <c r="C1" s="70" t="s">
        <v>6</v>
      </c>
      <c r="D1" s="70"/>
      <c r="E1" s="70"/>
      <c r="F1" s="70"/>
      <c r="G1" s="70"/>
      <c r="H1" s="70"/>
      <c r="I1" s="70"/>
    </row>
    <row r="2" spans="1:9" ht="17.25" customHeight="1" x14ac:dyDescent="0.2">
      <c r="A2" s="55"/>
      <c r="B2" s="69"/>
      <c r="C2" s="34" t="s">
        <v>44</v>
      </c>
      <c r="D2" s="34" t="s">
        <v>18</v>
      </c>
      <c r="E2" s="34" t="s">
        <v>19</v>
      </c>
      <c r="F2" s="34" t="s">
        <v>20</v>
      </c>
      <c r="G2" s="34" t="s">
        <v>21</v>
      </c>
      <c r="H2" s="34" t="s">
        <v>22</v>
      </c>
      <c r="I2" s="34"/>
    </row>
    <row r="3" spans="1:9" ht="17.25" customHeight="1" x14ac:dyDescent="0.2">
      <c r="A3" s="52" t="s">
        <v>7</v>
      </c>
      <c r="B3" s="18" t="s">
        <v>8</v>
      </c>
      <c r="C3" s="35"/>
      <c r="D3" s="35" t="s">
        <v>43</v>
      </c>
      <c r="E3" s="35"/>
      <c r="F3" s="35"/>
      <c r="G3" s="35"/>
      <c r="H3" s="35"/>
      <c r="I3" s="35"/>
    </row>
    <row r="4" spans="1:9" ht="17.25" customHeight="1" x14ac:dyDescent="0.2">
      <c r="A4" s="53"/>
      <c r="B4" s="18" t="s">
        <v>9</v>
      </c>
      <c r="C4" s="35"/>
      <c r="D4" s="35" t="s">
        <v>43</v>
      </c>
      <c r="E4" s="35"/>
      <c r="F4" s="35"/>
      <c r="G4" s="35"/>
      <c r="H4" s="35"/>
      <c r="I4" s="35"/>
    </row>
    <row r="5" spans="1:9" ht="17.25" customHeight="1" x14ac:dyDescent="0.2">
      <c r="A5" s="53"/>
      <c r="B5" s="18" t="s">
        <v>10</v>
      </c>
      <c r="C5" s="35"/>
      <c r="D5" s="35" t="s">
        <v>43</v>
      </c>
      <c r="E5" s="35"/>
      <c r="F5" s="35"/>
      <c r="G5" s="35"/>
      <c r="H5" s="35"/>
      <c r="I5" s="35"/>
    </row>
    <row r="6" spans="1:9" ht="17.25" customHeight="1" x14ac:dyDescent="0.2">
      <c r="A6" s="53"/>
      <c r="B6" s="18" t="s">
        <v>11</v>
      </c>
      <c r="C6" s="35"/>
      <c r="D6" s="35" t="s">
        <v>43</v>
      </c>
      <c r="E6" s="35"/>
      <c r="F6" s="35"/>
      <c r="G6" s="35"/>
      <c r="H6" s="35"/>
      <c r="I6" s="35"/>
    </row>
    <row r="7" spans="1:9" ht="17.25" customHeight="1" x14ac:dyDescent="0.2">
      <c r="A7" s="49" t="s">
        <v>12</v>
      </c>
      <c r="B7" s="41" t="s">
        <v>24</v>
      </c>
      <c r="C7" s="65"/>
      <c r="D7" s="66"/>
      <c r="E7" s="66"/>
      <c r="F7" s="66"/>
      <c r="G7" s="66"/>
      <c r="H7" s="66"/>
      <c r="I7" s="67"/>
    </row>
    <row r="8" spans="1:9" ht="17.25" customHeight="1" x14ac:dyDescent="0.2">
      <c r="A8" s="50"/>
      <c r="B8" s="42" t="s">
        <v>23</v>
      </c>
      <c r="C8" s="35" t="s">
        <v>43</v>
      </c>
      <c r="D8" s="35"/>
      <c r="E8" s="35"/>
      <c r="F8" s="35"/>
      <c r="G8" s="35"/>
      <c r="H8" s="35"/>
      <c r="I8" s="35"/>
    </row>
    <row r="9" spans="1:9" ht="17.25" customHeight="1" x14ac:dyDescent="0.2">
      <c r="A9" s="50"/>
      <c r="B9" s="42" t="s">
        <v>25</v>
      </c>
      <c r="C9" s="35"/>
      <c r="D9" s="35"/>
      <c r="E9" s="35" t="s">
        <v>43</v>
      </c>
      <c r="F9" s="35"/>
      <c r="G9" s="35" t="s">
        <v>43</v>
      </c>
      <c r="H9" s="35"/>
      <c r="I9" s="35"/>
    </row>
    <row r="10" spans="1:9" ht="17.25" customHeight="1" x14ac:dyDescent="0.2">
      <c r="A10" s="50"/>
      <c r="B10" s="42" t="s">
        <v>26</v>
      </c>
      <c r="C10" s="35"/>
      <c r="D10" s="35" t="s">
        <v>43</v>
      </c>
      <c r="E10" s="35"/>
      <c r="F10" s="35"/>
      <c r="G10" s="35"/>
      <c r="H10" s="35" t="s">
        <v>43</v>
      </c>
      <c r="I10" s="35"/>
    </row>
    <row r="11" spans="1:9" ht="17.25" customHeight="1" x14ac:dyDescent="0.2">
      <c r="A11" s="50"/>
      <c r="B11" s="42" t="s">
        <v>27</v>
      </c>
      <c r="C11" s="35"/>
      <c r="D11" s="35" t="s">
        <v>43</v>
      </c>
      <c r="E11" s="35"/>
      <c r="F11" s="35" t="s">
        <v>43</v>
      </c>
      <c r="G11" s="35"/>
      <c r="H11" s="35"/>
      <c r="I11" s="35"/>
    </row>
    <row r="12" spans="1:9" ht="17.25" customHeight="1" x14ac:dyDescent="0.2">
      <c r="A12" s="50"/>
      <c r="B12" s="41" t="s">
        <v>28</v>
      </c>
      <c r="C12" s="65"/>
      <c r="D12" s="66"/>
      <c r="E12" s="66"/>
      <c r="F12" s="66"/>
      <c r="G12" s="66"/>
      <c r="H12" s="66"/>
      <c r="I12" s="67"/>
    </row>
    <row r="13" spans="1:9" ht="17.25" customHeight="1" x14ac:dyDescent="0.2">
      <c r="A13" s="50"/>
      <c r="B13" s="43" t="s">
        <v>32</v>
      </c>
      <c r="C13" s="35"/>
      <c r="D13" s="35" t="s">
        <v>43</v>
      </c>
      <c r="E13" s="35"/>
      <c r="F13" s="35"/>
      <c r="G13" s="35"/>
      <c r="H13" s="35"/>
      <c r="I13" s="35"/>
    </row>
    <row r="14" spans="1:9" ht="17.25" customHeight="1" x14ac:dyDescent="0.2">
      <c r="A14" s="50"/>
      <c r="B14" s="43" t="s">
        <v>33</v>
      </c>
      <c r="C14" s="35"/>
      <c r="D14" s="35" t="s">
        <v>43</v>
      </c>
      <c r="E14" s="35" t="s">
        <v>43</v>
      </c>
      <c r="F14" s="35"/>
      <c r="G14" s="35"/>
      <c r="H14" s="35"/>
      <c r="I14" s="35"/>
    </row>
    <row r="15" spans="1:9" ht="17.25" customHeight="1" x14ac:dyDescent="0.2">
      <c r="A15" s="50"/>
      <c r="B15" s="43" t="s">
        <v>34</v>
      </c>
      <c r="C15" s="35"/>
      <c r="D15" s="35" t="s">
        <v>43</v>
      </c>
      <c r="E15" s="35"/>
      <c r="F15" s="35" t="s">
        <v>43</v>
      </c>
      <c r="G15" s="35"/>
      <c r="H15" s="35"/>
      <c r="I15" s="35"/>
    </row>
    <row r="16" spans="1:9" ht="17.25" customHeight="1" x14ac:dyDescent="0.2">
      <c r="A16" s="50"/>
      <c r="B16" s="43" t="s">
        <v>35</v>
      </c>
      <c r="C16" s="35"/>
      <c r="D16" s="35"/>
      <c r="E16" s="35" t="s">
        <v>43</v>
      </c>
      <c r="F16" s="35"/>
      <c r="G16" s="35" t="s">
        <v>43</v>
      </c>
      <c r="H16" s="35" t="s">
        <v>43</v>
      </c>
      <c r="I16" s="35"/>
    </row>
    <row r="17" spans="1:9" ht="17.25" customHeight="1" x14ac:dyDescent="0.2">
      <c r="A17" s="50"/>
      <c r="B17" s="41" t="s">
        <v>29</v>
      </c>
      <c r="C17" s="35"/>
      <c r="D17" s="35" t="s">
        <v>43</v>
      </c>
      <c r="E17" s="35"/>
      <c r="F17" s="35"/>
      <c r="G17" s="35"/>
      <c r="H17" s="35"/>
      <c r="I17" s="35"/>
    </row>
    <row r="18" spans="1:9" ht="17.25" customHeight="1" x14ac:dyDescent="0.2">
      <c r="A18" s="50"/>
      <c r="B18" s="41" t="s">
        <v>30</v>
      </c>
      <c r="C18" s="65"/>
      <c r="D18" s="66"/>
      <c r="E18" s="66"/>
      <c r="F18" s="66"/>
      <c r="G18" s="66"/>
      <c r="H18" s="66"/>
      <c r="I18" s="67"/>
    </row>
    <row r="19" spans="1:9" ht="17.25" customHeight="1" x14ac:dyDescent="0.2">
      <c r="A19" s="50"/>
      <c r="B19" s="43" t="s">
        <v>36</v>
      </c>
      <c r="C19" s="35" t="s">
        <v>43</v>
      </c>
      <c r="D19" s="35"/>
      <c r="E19" s="35"/>
      <c r="F19" s="35"/>
      <c r="G19" s="35"/>
      <c r="H19" s="35"/>
      <c r="I19" s="35"/>
    </row>
    <row r="20" spans="1:9" ht="17.25" customHeight="1" x14ac:dyDescent="0.2">
      <c r="A20" s="50"/>
      <c r="B20" s="43" t="s">
        <v>37</v>
      </c>
      <c r="C20" s="35" t="s">
        <v>43</v>
      </c>
      <c r="D20" s="35"/>
      <c r="E20" s="35"/>
      <c r="F20" s="35"/>
      <c r="G20" s="35"/>
      <c r="H20" s="35"/>
      <c r="I20" s="35"/>
    </row>
    <row r="21" spans="1:9" ht="17.25" customHeight="1" x14ac:dyDescent="0.2">
      <c r="A21" s="50"/>
      <c r="B21" s="41" t="s">
        <v>31</v>
      </c>
      <c r="C21" s="65"/>
      <c r="D21" s="66"/>
      <c r="E21" s="66"/>
      <c r="F21" s="66"/>
      <c r="G21" s="66"/>
      <c r="H21" s="66"/>
      <c r="I21" s="67"/>
    </row>
    <row r="22" spans="1:9" ht="17.25" customHeight="1" x14ac:dyDescent="0.2">
      <c r="A22" s="50"/>
      <c r="B22" s="43" t="s">
        <v>38</v>
      </c>
      <c r="C22" s="35"/>
      <c r="D22" s="35" t="s">
        <v>43</v>
      </c>
      <c r="E22" s="35"/>
      <c r="F22" s="35"/>
      <c r="G22" s="35"/>
      <c r="H22" s="35"/>
      <c r="I22" s="35"/>
    </row>
    <row r="23" spans="1:9" ht="17.25" customHeight="1" x14ac:dyDescent="0.2">
      <c r="A23" s="50"/>
      <c r="B23" s="43" t="s">
        <v>39</v>
      </c>
      <c r="C23" s="35" t="s">
        <v>43</v>
      </c>
      <c r="D23" s="35"/>
      <c r="E23" s="35"/>
      <c r="F23" s="35"/>
      <c r="G23" s="35"/>
      <c r="H23" s="35"/>
      <c r="I23" s="35"/>
    </row>
    <row r="24" spans="1:9" ht="17.25" customHeight="1" x14ac:dyDescent="0.2">
      <c r="A24" s="50"/>
      <c r="B24" s="41" t="s">
        <v>40</v>
      </c>
      <c r="C24" s="65"/>
      <c r="D24" s="66"/>
      <c r="E24" s="66"/>
      <c r="F24" s="66"/>
      <c r="G24" s="66"/>
      <c r="H24" s="66"/>
      <c r="I24" s="67"/>
    </row>
    <row r="25" spans="1:9" ht="17.25" customHeight="1" x14ac:dyDescent="0.2">
      <c r="A25" s="50"/>
      <c r="B25" s="43" t="s">
        <v>41</v>
      </c>
      <c r="C25" s="35" t="s">
        <v>43</v>
      </c>
      <c r="D25" s="35"/>
      <c r="E25" s="35"/>
      <c r="F25" s="35"/>
      <c r="G25" s="35"/>
      <c r="H25" s="35"/>
      <c r="I25" s="35"/>
    </row>
    <row r="26" spans="1:9" ht="17.25" customHeight="1" x14ac:dyDescent="0.2">
      <c r="A26" s="50"/>
      <c r="B26" s="43" t="s">
        <v>42</v>
      </c>
      <c r="C26" s="35" t="s">
        <v>43</v>
      </c>
      <c r="D26" s="35"/>
      <c r="E26" s="35"/>
      <c r="F26" s="35"/>
      <c r="G26" s="35"/>
      <c r="H26" s="35"/>
      <c r="I26" s="35"/>
    </row>
    <row r="27" spans="1:9" x14ac:dyDescent="0.2">
      <c r="A27" s="50"/>
      <c r="B27" s="41" t="s">
        <v>47</v>
      </c>
      <c r="C27" s="65"/>
      <c r="D27" s="66"/>
      <c r="E27" s="66"/>
      <c r="F27" s="66"/>
      <c r="G27" s="66"/>
      <c r="H27" s="66"/>
      <c r="I27" s="67"/>
    </row>
    <row r="28" spans="1:9" x14ac:dyDescent="0.2">
      <c r="A28" s="50"/>
      <c r="B28" s="43" t="s">
        <v>48</v>
      </c>
      <c r="C28" s="35" t="s">
        <v>43</v>
      </c>
      <c r="D28" s="35"/>
      <c r="E28" s="35"/>
      <c r="F28" s="35"/>
      <c r="G28" s="35"/>
      <c r="H28" s="35"/>
      <c r="I28" s="35"/>
    </row>
    <row r="29" spans="1:9" x14ac:dyDescent="0.2">
      <c r="A29" s="50"/>
      <c r="B29" s="43" t="s">
        <v>49</v>
      </c>
      <c r="C29" s="35" t="s">
        <v>43</v>
      </c>
      <c r="D29" s="35"/>
      <c r="E29" s="35"/>
      <c r="F29" s="35"/>
      <c r="G29" s="35"/>
      <c r="H29" s="35"/>
      <c r="I29" s="35"/>
    </row>
    <row r="30" spans="1:9" x14ac:dyDescent="0.2">
      <c r="A30" s="50"/>
      <c r="B30" s="41" t="s">
        <v>40</v>
      </c>
      <c r="C30" s="65"/>
      <c r="D30" s="66"/>
      <c r="E30" s="66"/>
      <c r="F30" s="66"/>
      <c r="G30" s="66"/>
      <c r="H30" s="66"/>
      <c r="I30" s="67"/>
    </row>
    <row r="31" spans="1:9" x14ac:dyDescent="0.2">
      <c r="A31" s="50"/>
      <c r="B31" s="43" t="s">
        <v>41</v>
      </c>
      <c r="C31" s="35" t="s">
        <v>43</v>
      </c>
      <c r="D31" s="35"/>
      <c r="E31" s="35"/>
      <c r="F31" s="35"/>
      <c r="G31" s="35"/>
      <c r="H31" s="35"/>
      <c r="I31" s="35"/>
    </row>
    <row r="32" spans="1:9" x14ac:dyDescent="0.2">
      <c r="A32" s="51"/>
      <c r="B32" s="43" t="s">
        <v>42</v>
      </c>
      <c r="C32" s="35" t="s">
        <v>43</v>
      </c>
      <c r="D32" s="35"/>
      <c r="E32" s="35"/>
      <c r="F32" s="35"/>
      <c r="G32" s="35"/>
      <c r="H32" s="35"/>
      <c r="I32" s="35"/>
    </row>
  </sheetData>
  <mergeCells count="12">
    <mergeCell ref="A1:A2"/>
    <mergeCell ref="B1:B2"/>
    <mergeCell ref="A3:A6"/>
    <mergeCell ref="C1:I1"/>
    <mergeCell ref="C7:I7"/>
    <mergeCell ref="C24:I24"/>
    <mergeCell ref="C21:I21"/>
    <mergeCell ref="C12:I12"/>
    <mergeCell ref="C18:I18"/>
    <mergeCell ref="A7:A32"/>
    <mergeCell ref="C27:I27"/>
    <mergeCell ref="C30:I30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76F3AD1-E462-433F-9541-9EAC7C742967}">
          <x14:formula1>
            <xm:f>팀원!$A$2:$A$6</xm:f>
          </x14:formula1>
          <xm:sqref>D2:I2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WBS</vt:lpstr>
      <vt:lpstr>팀원</vt:lpstr>
      <vt:lpstr>담당자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GyuTae Ahn</cp:lastModifiedBy>
  <cp:lastPrinted>2022-10-17T08:19:16Z</cp:lastPrinted>
  <dcterms:created xsi:type="dcterms:W3CDTF">2018-10-16T04:26:17Z</dcterms:created>
  <dcterms:modified xsi:type="dcterms:W3CDTF">2025-12-18T14:03:50Z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